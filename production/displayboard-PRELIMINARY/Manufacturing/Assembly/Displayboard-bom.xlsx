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'Costs'!$H$30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9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30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<sst xmlns="http://schemas.openxmlformats.org/spreadsheetml/2006/main" count="309" uniqueCount="165">
  <si>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</si>
  <si>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</si>
  <si>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</si>
  <si>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</si>
  <si>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</si>
  <si>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</si>
  <si>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</si>
  <si>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</si>
  <si>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</si>
  <si>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</si>
  <si>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C401 C402</t>
  </si>
  <si>
    <t>KYOCERA AVX</t>
  </si>
  <si>
    <t>08056C104JAT2A</t>
  </si>
  <si>
    <t>https://datasheets.kyocera-avx.com/X7RDielectric.pdf</t>
  </si>
  <si>
    <t>C_0805_2012Metric</t>
  </si>
  <si>
    <t>Unpolarized capacitor</t>
  </si>
  <si>
    <t>D401</t>
  </si>
  <si>
    <t>Broadcom / Avago</t>
  </si>
  <si>
    <t>ASMB-KTF0-0A306</t>
  </si>
  <si>
    <t>https://4donline.ihs.com/images/VipMasterIC/IC/AVGO/AVGO-S-A0004511384/AVGO-S-A0004511384-1.pdf?hkey=CECEF36DEECDED6468708AAF2E19C0C6</t>
  </si>
  <si>
    <t>LED_ASMB-KTF0-0A306</t>
  </si>
  <si>
    <t>RGB LED, anode/blue/green/red</t>
  </si>
  <si>
    <t>3</t>
  </si>
  <si>
    <t>IC401</t>
  </si>
  <si>
    <t>NXP Semiconductors</t>
  </si>
  <si>
    <t>PCAL6416AHF,128</t>
  </si>
  <si>
    <t>https://www.nxp.com/docs/en/data-sheet/PCAL6416A.pdf</t>
  </si>
  <si>
    <t>HVQFN-24-1EP_4x4mm_P0.5mm_EP2.1x2.1mm</t>
  </si>
  <si>
    <t>IO expander 16 GPIO, I2C 400kHz, Interrupt, 1.65 - 5.5V, HWQFN-24</t>
  </si>
  <si>
    <t>4</t>
  </si>
  <si>
    <t>Q501</t>
  </si>
  <si>
    <t>Nexperia</t>
  </si>
  <si>
    <t>BC817W,135</t>
  </si>
  <si>
    <t>https://assets.nexperia.com/documents/data-sheet/BC817W_SER.pdf</t>
  </si>
  <si>
    <t>SOT-23</t>
  </si>
  <si>
    <t>0.8A Ic, 45V Vce, NPN Transistor, SOT-23</t>
  </si>
  <si>
    <t>5</t>
  </si>
  <si>
    <t>R502</t>
  </si>
  <si>
    <t/>
  </si>
  <si>
    <t>R_0805_2012Metric</t>
  </si>
  <si>
    <t>Resistor</t>
  </si>
  <si>
    <t>6</t>
  </si>
  <si>
    <t>R504</t>
  </si>
  <si>
    <t>Bourns</t>
  </si>
  <si>
    <t>CR0805-JW-101ELF</t>
  </si>
  <si>
    <t>https://eu.mouser.com/datasheet/3/40/1/cr.pdf</t>
  </si>
  <si>
    <t>7</t>
  </si>
  <si>
    <t>R404</t>
  </si>
  <si>
    <t>CR0805-JW-331ELF</t>
  </si>
  <si>
    <t>https://www.mouser.de/datasheet/3/40/1/cr.pdf</t>
  </si>
  <si>
    <t>8</t>
  </si>
  <si>
    <t>R405</t>
  </si>
  <si>
    <t>CR0805-JW-471ELF</t>
  </si>
  <si>
    <t>9</t>
  </si>
  <si>
    <t>R403</t>
  </si>
  <si>
    <t>CR0805-JW-132ELF</t>
  </si>
  <si>
    <t>10</t>
  </si>
  <si>
    <t>R402</t>
  </si>
  <si>
    <t>CR0805-JW-103ELF</t>
  </si>
  <si>
    <t>https://www.mouser.de/datasheet/2/54/cr-1858361.pdf</t>
  </si>
  <si>
    <t>11</t>
  </si>
  <si>
    <t>R401 R503</t>
  </si>
  <si>
    <t>CR0805-JW-104ELF</t>
  </si>
  <si>
    <t>12</t>
  </si>
  <si>
    <t>S401</t>
  </si>
  <si>
    <t>E-Switch</t>
  </si>
  <si>
    <t>JS1400</t>
  </si>
  <si>
    <t>https://configured-product-images.s3.amazonaws.com/2D/specs/JS1400BVQ.pdf</t>
  </si>
  <si>
    <t>JS1400BVQ</t>
  </si>
  <si>
    <t>NAVIGATION, 50mA, 12VDC SPST-NO, 4 Way Directional, Center Select Surface Mount</t>
  </si>
  <si>
    <t>13</t>
  </si>
  <si>
    <t>SW401</t>
  </si>
  <si>
    <t>Wurth Elektronik</t>
  </si>
  <si>
    <t>430182070816</t>
  </si>
  <si>
    <t>https://www.we-online.com/components/products/datasheet/430182095816.pdf</t>
  </si>
  <si>
    <t>WS-TASV-6x6</t>
  </si>
  <si>
    <t>MEC 5E single pole normally-open tactile switch</t>
  </si>
  <si>
    <t>14</t>
  </si>
  <si>
    <t>SW402</t>
  </si>
  <si>
    <t>15</t>
  </si>
  <si>
    <t>SW403</t>
  </si>
  <si>
    <t>16</t>
  </si>
  <si>
    <t>SW404</t>
  </si>
  <si>
    <t>17</t>
  </si>
  <si>
    <t>X503</t>
  </si>
  <si>
    <t>Amphenol Aorora</t>
  </si>
  <si>
    <t>F32R-1A7H1-11014</t>
  </si>
  <si>
    <t>https://cdn.amphenol-cs.com/media/wysiwyg/files/drawing/f32r-f32j.pdf</t>
  </si>
  <si>
    <t>Amphenol_F32R-1A7x1-11014_1x14-1MP_P0.5mm_Horizontal</t>
  </si>
  <si>
    <t>Generic connectable mounting pin connector, single row, 01x14, script generated (kicad-library-utils/schlib/autogen/connector/)</t>
  </si>
  <si>
    <t>18</t>
  </si>
  <si>
    <t>X501 X502</t>
  </si>
  <si>
    <t>F32R-1A7H1-11006</t>
  </si>
  <si>
    <t>~</t>
  </si>
  <si>
    <t>Amphenol_F32R-1A7x1-11006_1x06-1MP_P0.5mm_Horizontal</t>
  </si>
  <si>
    <t>Generic connector, single row, 01x06, script generated (kicad-library-utils/schlib/autogen/connector/) Generic connector, single row, 01x18, script generated (kicad-library-utils/schlib/autogen/connector/)</t>
  </si>
  <si>
    <t>Bill of Materials</t>
  </si>
  <si>
    <t>Schematic:</t>
  </si>
  <si>
    <t>Displayboard</t>
  </si>
  <si>
    <t>Variant:</t>
  </si>
  <si>
    <t>PRELIMINARY</t>
  </si>
  <si>
    <t>Revision:</t>
  </si>
  <si>
    <t>Date:</t>
  </si>
  <si>
    <t>2025-12-19</t>
  </si>
  <si>
    <t>KiCad Version:</t>
  </si>
  <si>
    <t>9.0.6+1</t>
  </si>
  <si>
    <t>Component Groups:</t>
  </si>
  <si>
    <t>Component Count:</t>
  </si>
  <si>
    <t>21 (20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</si>
  <si>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</si>
  <si>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</si>
  <si>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</si>
  <si>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</si>
  <si>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</si>
  <si>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</si>
  <si>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</si>
  <si>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</si>
  <si>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</si>
  <si>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</si>
  <si>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100n</t>
  </si>
  <si>
    <t>STATUS</t>
  </si>
  <si>
    <t>PCAL6416AHF</t>
  </si>
  <si>
    <t>NPN</t>
  </si>
  <si>
    <t>10R</t>
  </si>
  <si>
    <t>100R</t>
  </si>
  <si>
    <t>330R</t>
  </si>
  <si>
    <t>470R</t>
  </si>
  <si>
    <t>1k3</t>
  </si>
  <si>
    <t>10k</t>
  </si>
  <si>
    <t>100k</t>
  </si>
  <si>
    <t>Button 1</t>
  </si>
  <si>
    <t>Button 2</t>
  </si>
  <si>
    <t>Button 3</t>
  </si>
  <si>
    <t>Button 4</t>
  </si>
  <si>
    <t>Mainboard</t>
  </si>
  <si>
    <t>Touch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</si>
  <si>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</si>
  <si>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</si>
  <si>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</si>
  <si>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</si>
  <si>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</si>
  <si>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</si>
  <si>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</si>
  <si>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</si>
  <si>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</si>
  <si>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</si>
  <si>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</si>
  <si>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</si>
  <si>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2026-01-07 14:07:57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</si>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</sst>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X7RDielectric.pdf" TargetMode="External"/><Relationship Id="rId2" Type="http://schemas.openxmlformats.org/officeDocument/2006/relationships/hyperlink" Target="https://4donline.ihs.com/images/VipMasterIC/IC/AVGO/AVGO-S-A0004511384/AVGO-S-A0004511384-1.pdf?hkey=CECEF36DEECDED6468708AAF2E19C0C6" TargetMode="External"/><Relationship Id="rId3" Type="http://schemas.openxmlformats.org/officeDocument/2006/relationships/hyperlink" Target="https://www.nxp.com/docs/en/data-sheet/PCAL6416A.pdf" TargetMode="External"/><Relationship Id="rId4" Type="http://schemas.openxmlformats.org/officeDocument/2006/relationships/hyperlink" Target="https://assets.nexperia.com/documents/data-sheet/BC817W_SER.pdf" TargetMode="External"/><Relationship Id="rId5" Type="http://schemas.openxmlformats.org/officeDocument/2006/relationships/hyperlink" Target="https://eu.mouser.com/datasheet/3/40/1/cr.pdf" TargetMode="External"/><Relationship Id="rId6" Type="http://schemas.openxmlformats.org/officeDocument/2006/relationships/hyperlink" Target="https://www.mouser.de/datasheet/3/40/1/cr.pdf" TargetMode="External"/><Relationship Id="rId7" Type="http://schemas.openxmlformats.org/officeDocument/2006/relationships/hyperlink" Target="https://www.mouser.de/datasheet/3/40/1/cr.pdf" TargetMode="External"/><Relationship Id="rId8" Type="http://schemas.openxmlformats.org/officeDocument/2006/relationships/hyperlink" Target="https://eu.mouser.com/datasheet/3/40/1/cr.pdf" TargetMode="External"/><Relationship Id="rId9" Type="http://schemas.openxmlformats.org/officeDocument/2006/relationships/hyperlink" Target="https://www.mouser.de/datasheet/2/54/cr-1858361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configured-product-images.s3.amazonaws.com/2D/specs/JS1400BVQ.pdf" TargetMode="External"/><Relationship Id="rId12" Type="http://schemas.openxmlformats.org/officeDocument/2006/relationships/hyperlink" Target="https://www.we-online.com/components/products/datasheet/430182095816.pdf" TargetMode="External"/><Relationship Id="rId13" Type="http://schemas.openxmlformats.org/officeDocument/2006/relationships/hyperlink" Target="https://www.we-online.com/components/products/datasheet/430182095816.pdf" TargetMode="External"/><Relationship Id="rId14" Type="http://schemas.openxmlformats.org/officeDocument/2006/relationships/hyperlink" Target="https://www.we-online.com/components/products/datasheet/430182095816.pdf" TargetMode="External"/><Relationship Id="rId15" Type="http://schemas.openxmlformats.org/officeDocument/2006/relationships/hyperlink" Target="https://www.we-online.com/components/products/datasheet/430182095816.pdf" TargetMode="External"/><Relationship Id="rId16" Type="http://schemas.openxmlformats.org/officeDocument/2006/relationships/hyperlink" Target="https://cdn.amphenol-cs.com/media/wysiwyg/files/drawing/f32r-f32j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X7RDielectric.pdf" TargetMode="External"/><Relationship Id="rId2" Type="http://schemas.openxmlformats.org/officeDocument/2006/relationships/hyperlink" Target="https://4donline.ihs.com/images/VipMasterIC/IC/AVGO/AVGO-S-A0004511384/AVGO-S-A0004511384-1.pdf?hkey=CECEF36DEECDED6468708AAF2E19C0C6" TargetMode="External"/><Relationship Id="rId3" Type="http://schemas.openxmlformats.org/officeDocument/2006/relationships/hyperlink" Target="https://www.nxp.com/docs/en/data-sheet/PCAL6416A.pdf" TargetMode="External"/><Relationship Id="rId4" Type="http://schemas.openxmlformats.org/officeDocument/2006/relationships/hyperlink" Target="https://assets.nexperia.com/documents/data-sheet/BC817W_SER.pdf" TargetMode="External"/><Relationship Id="rId5" Type="http://schemas.openxmlformats.org/officeDocument/2006/relationships/hyperlink" Target="https://eu.mouser.com/datasheet/3/40/1/cr.pdf" TargetMode="External"/><Relationship Id="rId6" Type="http://schemas.openxmlformats.org/officeDocument/2006/relationships/hyperlink" Target="https://www.mouser.de/datasheet/3/40/1/cr.pdf" TargetMode="External"/><Relationship Id="rId7" Type="http://schemas.openxmlformats.org/officeDocument/2006/relationships/hyperlink" Target="https://www.mouser.de/datasheet/3/40/1/cr.pdf" TargetMode="External"/><Relationship Id="rId8" Type="http://schemas.openxmlformats.org/officeDocument/2006/relationships/hyperlink" Target="https://eu.mouser.com/datasheet/3/40/1/cr.pdf" TargetMode="External"/><Relationship Id="rId9" Type="http://schemas.openxmlformats.org/officeDocument/2006/relationships/hyperlink" Target="https://www.mouser.de/datasheet/2/54/cr-1858361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configured-product-images.s3.amazonaws.com/2D/specs/JS1400BVQ.pdf" TargetMode="External"/><Relationship Id="rId12" Type="http://schemas.openxmlformats.org/officeDocument/2006/relationships/hyperlink" Target="https://www.we-online.com/components/products/datasheet/430182095816.pdf" TargetMode="External"/><Relationship Id="rId13" Type="http://schemas.openxmlformats.org/officeDocument/2006/relationships/hyperlink" Target="https://www.we-online.com/components/products/datasheet/430182095816.pdf" TargetMode="External"/><Relationship Id="rId14" Type="http://schemas.openxmlformats.org/officeDocument/2006/relationships/hyperlink" Target="https://www.we-online.com/components/products/datasheet/430182095816.pdf" TargetMode="External"/><Relationship Id="rId15" Type="http://schemas.openxmlformats.org/officeDocument/2006/relationships/hyperlink" Target="https://www.we-online.com/components/products/datasheet/430182095816.pdf" TargetMode="External"/><Relationship Id="rId16" Type="http://schemas.openxmlformats.org/officeDocument/2006/relationships/hyperlink" Target="https://cdn.amphenol-cs.com/media/wysiwyg/files/drawing/f32r-f32j.pdf" TargetMode="External"/><Relationship Id="rId17" Type="http://schemas.openxmlformats.org/officeDocument/2006/relationships/hyperlink" Target="https://mouser.com/bom/" TargetMode="External"/><Relationship Id="rId18" Type="http://schemas.openxmlformats.org/officeDocument/2006/relationships/vmlDrawing" Target="../drawings/vmlDrawing1.vml"/><Relationship Id="rId1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0.7109375" customWidth="1"/>
    <col min="4" max="4" width="23.7109375" customWidth="1"/>
    <col min="5" max="5" width="21.7109375" customWidth="1"/>
    <col min="6" max="6" width="60.7109375" customWidth="1"/>
    <col min="7" max="7" width="57.7109375" customWidth="1"/>
    <col min="8" max="8" width="60.7109375" customWidth="1"/>
  </cols>
  <sheetData>
    <row r="1" spans="1:8" ht="32" customHeight="1">
      <c r="A1" s="1" t="s">
        <v>96</v>
      </c>
      <c r="B1" s="1"/>
      <c r="C1" s="1"/>
      <c r="D1" s="1"/>
      <c r="E1" s="1"/>
      <c r="F1" s="1"/>
      <c r="G1" s="1"/>
      <c r="H1" s="1"/>
    </row>
    <row r="2" spans="1:8">
      <c r="A2" s="2" t="s">
        <v>97</v>
      </c>
      <c r="B2" s="3" t="s">
        <v>98</v>
      </c>
      <c r="C2" s="2" t="s">
        <v>106</v>
      </c>
      <c r="D2" s="3">
        <v>18</v>
      </c>
    </row>
    <row r="3" spans="1:8">
      <c r="A3" s="2" t="s">
        <v>99</v>
      </c>
      <c r="B3" s="3" t="s">
        <v>100</v>
      </c>
      <c r="C3" s="2" t="s">
        <v>107</v>
      </c>
      <c r="D3" s="3" t="s">
        <v>108</v>
      </c>
    </row>
    <row r="4" spans="1:8">
      <c r="A4" s="2" t="s">
        <v>101</v>
      </c>
      <c r="B4" s="3" t="s">
        <v>8</v>
      </c>
      <c r="C4" s="2" t="s">
        <v>109</v>
      </c>
      <c r="D4" s="3" t="s">
        <v>108</v>
      </c>
    </row>
    <row r="5" spans="1:8">
      <c r="A5" s="2" t="s">
        <v>102</v>
      </c>
      <c r="B5" s="3" t="s">
        <v>103</v>
      </c>
      <c r="C5" s="2" t="s">
        <v>110</v>
      </c>
      <c r="D5" s="3">
        <v>1</v>
      </c>
    </row>
    <row r="6" spans="1:8">
      <c r="A6" s="2" t="s">
        <v>104</v>
      </c>
      <c r="B6" s="3" t="s">
        <v>105</v>
      </c>
      <c r="C6" s="2" t="s">
        <v>111</v>
      </c>
      <c r="D6" s="3">
        <v>21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 ht="45" customHeight="1">
      <c r="A10" s="8" t="s">
        <v>9</v>
      </c>
      <c r="B10" s="8" t="s">
        <v>8</v>
      </c>
      <c r="C10" s="9" t="s">
        <v>16</v>
      </c>
      <c r="D10" s="10" t="s">
        <v>17</v>
      </c>
      <c r="E10" s="10" t="s">
        <v>18</v>
      </c>
      <c r="F10" s="9" t="s">
        <v>19</v>
      </c>
      <c r="G10" s="9" t="s">
        <v>20</v>
      </c>
      <c r="H10" s="10" t="s">
        <v>21</v>
      </c>
    </row>
    <row r="11" spans="1:8" ht="30" customHeight="1">
      <c r="A11" s="5" t="s">
        <v>22</v>
      </c>
      <c r="B11" s="5" t="s">
        <v>8</v>
      </c>
      <c r="C11" s="6" t="s">
        <v>23</v>
      </c>
      <c r="D11" s="7" t="s">
        <v>24</v>
      </c>
      <c r="E11" s="7" t="s">
        <v>25</v>
      </c>
      <c r="F11" s="6" t="s">
        <v>26</v>
      </c>
      <c r="G11" s="6" t="s">
        <v>27</v>
      </c>
      <c r="H11" s="7" t="s">
        <v>28</v>
      </c>
    </row>
    <row r="12" spans="1:8" ht="30" customHeight="1">
      <c r="A12" s="8" t="s">
        <v>29</v>
      </c>
      <c r="B12" s="8" t="s">
        <v>8</v>
      </c>
      <c r="C12" s="9" t="s">
        <v>30</v>
      </c>
      <c r="D12" s="10" t="s">
        <v>31</v>
      </c>
      <c r="E12" s="10" t="s">
        <v>32</v>
      </c>
      <c r="F12" s="9" t="s">
        <v>33</v>
      </c>
      <c r="G12" s="9" t="s">
        <v>34</v>
      </c>
      <c r="H12" s="10" t="s">
        <v>35</v>
      </c>
    </row>
    <row r="13" spans="1:8">
      <c r="A13" s="5" t="s">
        <v>36</v>
      </c>
      <c r="B13" s="5" t="s">
        <v>8</v>
      </c>
      <c r="C13" s="6" t="s">
        <v>37</v>
      </c>
      <c r="D13" s="11" t="s">
        <v>38</v>
      </c>
      <c r="E13" s="11" t="s">
        <v>38</v>
      </c>
      <c r="F13" s="11" t="s">
        <v>38</v>
      </c>
      <c r="G13" s="6" t="s">
        <v>39</v>
      </c>
      <c r="H13" s="7" t="s">
        <v>40</v>
      </c>
    </row>
    <row r="14" spans="1:8">
      <c r="A14" s="8" t="s">
        <v>41</v>
      </c>
      <c r="B14" s="8" t="s">
        <v>8</v>
      </c>
      <c r="C14" s="9" t="s">
        <v>42</v>
      </c>
      <c r="D14" s="10" t="s">
        <v>43</v>
      </c>
      <c r="E14" s="10" t="s">
        <v>44</v>
      </c>
      <c r="F14" s="9" t="s">
        <v>45</v>
      </c>
      <c r="G14" s="9" t="s">
        <v>39</v>
      </c>
      <c r="H14" s="10" t="s">
        <v>40</v>
      </c>
    </row>
    <row r="15" spans="1:8">
      <c r="A15" s="5" t="s">
        <v>46</v>
      </c>
      <c r="B15" s="5" t="s">
        <v>8</v>
      </c>
      <c r="C15" s="6" t="s">
        <v>47</v>
      </c>
      <c r="D15" s="7" t="s">
        <v>43</v>
      </c>
      <c r="E15" s="7" t="s">
        <v>48</v>
      </c>
      <c r="F15" s="6" t="s">
        <v>49</v>
      </c>
      <c r="G15" s="6" t="s">
        <v>39</v>
      </c>
      <c r="H15" s="7" t="s">
        <v>40</v>
      </c>
    </row>
    <row r="16" spans="1:8">
      <c r="A16" s="8" t="s">
        <v>50</v>
      </c>
      <c r="B16" s="8" t="s">
        <v>8</v>
      </c>
      <c r="C16" s="9" t="s">
        <v>51</v>
      </c>
      <c r="D16" s="10" t="s">
        <v>43</v>
      </c>
      <c r="E16" s="10" t="s">
        <v>52</v>
      </c>
      <c r="F16" s="9" t="s">
        <v>49</v>
      </c>
      <c r="G16" s="9" t="s">
        <v>39</v>
      </c>
      <c r="H16" s="10" t="s">
        <v>40</v>
      </c>
    </row>
    <row r="17" spans="1:8">
      <c r="A17" s="5" t="s">
        <v>53</v>
      </c>
      <c r="B17" s="5" t="s">
        <v>8</v>
      </c>
      <c r="C17" s="6" t="s">
        <v>54</v>
      </c>
      <c r="D17" s="7" t="s">
        <v>43</v>
      </c>
      <c r="E17" s="7" t="s">
        <v>55</v>
      </c>
      <c r="F17" s="6" t="s">
        <v>45</v>
      </c>
      <c r="G17" s="6" t="s">
        <v>39</v>
      </c>
      <c r="H17" s="7" t="s">
        <v>40</v>
      </c>
    </row>
    <row r="18" spans="1:8">
      <c r="A18" s="8" t="s">
        <v>56</v>
      </c>
      <c r="B18" s="8" t="s">
        <v>8</v>
      </c>
      <c r="C18" s="9" t="s">
        <v>57</v>
      </c>
      <c r="D18" s="10" t="s">
        <v>43</v>
      </c>
      <c r="E18" s="10" t="s">
        <v>58</v>
      </c>
      <c r="F18" s="9" t="s">
        <v>59</v>
      </c>
      <c r="G18" s="9" t="s">
        <v>39</v>
      </c>
      <c r="H18" s="10" t="s">
        <v>40</v>
      </c>
    </row>
    <row r="19" spans="1:8">
      <c r="A19" s="5" t="s">
        <v>60</v>
      </c>
      <c r="B19" s="5" t="s">
        <v>9</v>
      </c>
      <c r="C19" s="6" t="s">
        <v>61</v>
      </c>
      <c r="D19" s="7" t="s">
        <v>43</v>
      </c>
      <c r="E19" s="7" t="s">
        <v>62</v>
      </c>
      <c r="F19" s="6" t="s">
        <v>59</v>
      </c>
      <c r="G19" s="6" t="s">
        <v>39</v>
      </c>
      <c r="H19" s="7" t="s">
        <v>40</v>
      </c>
    </row>
    <row r="20" spans="1:8" ht="30" customHeight="1">
      <c r="A20" s="8" t="s">
        <v>63</v>
      </c>
      <c r="B20" s="8" t="s">
        <v>8</v>
      </c>
      <c r="C20" s="9" t="s">
        <v>64</v>
      </c>
      <c r="D20" s="10" t="s">
        <v>65</v>
      </c>
      <c r="E20" s="10" t="s">
        <v>66</v>
      </c>
      <c r="F20" s="9" t="s">
        <v>67</v>
      </c>
      <c r="G20" s="9" t="s">
        <v>68</v>
      </c>
      <c r="H20" s="10" t="s">
        <v>69</v>
      </c>
    </row>
    <row r="21" spans="1:8" ht="30" customHeight="1">
      <c r="A21" s="5" t="s">
        <v>70</v>
      </c>
      <c r="B21" s="5" t="s">
        <v>8</v>
      </c>
      <c r="C21" s="6" t="s">
        <v>71</v>
      </c>
      <c r="D21" s="7" t="s">
        <v>72</v>
      </c>
      <c r="E21" s="7" t="s">
        <v>73</v>
      </c>
      <c r="F21" s="6" t="s">
        <v>74</v>
      </c>
      <c r="G21" s="6" t="s">
        <v>75</v>
      </c>
      <c r="H21" s="7" t="s">
        <v>76</v>
      </c>
    </row>
    <row r="22" spans="1:8" ht="30" customHeight="1">
      <c r="A22" s="8" t="s">
        <v>77</v>
      </c>
      <c r="B22" s="8" t="s">
        <v>8</v>
      </c>
      <c r="C22" s="9" t="s">
        <v>78</v>
      </c>
      <c r="D22" s="10" t="s">
        <v>72</v>
      </c>
      <c r="E22" s="10" t="s">
        <v>73</v>
      </c>
      <c r="F22" s="9" t="s">
        <v>74</v>
      </c>
      <c r="G22" s="9" t="s">
        <v>75</v>
      </c>
      <c r="H22" s="10" t="s">
        <v>76</v>
      </c>
    </row>
    <row r="23" spans="1:8" ht="30" customHeight="1">
      <c r="A23" s="5" t="s">
        <v>79</v>
      </c>
      <c r="B23" s="5" t="s">
        <v>8</v>
      </c>
      <c r="C23" s="6" t="s">
        <v>80</v>
      </c>
      <c r="D23" s="7" t="s">
        <v>72</v>
      </c>
      <c r="E23" s="7" t="s">
        <v>73</v>
      </c>
      <c r="F23" s="6" t="s">
        <v>74</v>
      </c>
      <c r="G23" s="6" t="s">
        <v>75</v>
      </c>
      <c r="H23" s="7" t="s">
        <v>76</v>
      </c>
    </row>
    <row r="24" spans="1:8" ht="30" customHeight="1">
      <c r="A24" s="8" t="s">
        <v>81</v>
      </c>
      <c r="B24" s="8" t="s">
        <v>8</v>
      </c>
      <c r="C24" s="9" t="s">
        <v>82</v>
      </c>
      <c r="D24" s="10" t="s">
        <v>72</v>
      </c>
      <c r="E24" s="10" t="s">
        <v>73</v>
      </c>
      <c r="F24" s="9" t="s">
        <v>74</v>
      </c>
      <c r="G24" s="9" t="s">
        <v>75</v>
      </c>
      <c r="H24" s="10" t="s">
        <v>76</v>
      </c>
    </row>
    <row r="25" spans="1:8" ht="45" customHeight="1">
      <c r="A25" s="5" t="s">
        <v>83</v>
      </c>
      <c r="B25" s="5" t="s">
        <v>8</v>
      </c>
      <c r="C25" s="6" t="s">
        <v>84</v>
      </c>
      <c r="D25" s="7" t="s">
        <v>85</v>
      </c>
      <c r="E25" s="7" t="s">
        <v>86</v>
      </c>
      <c r="F25" s="6" t="s">
        <v>87</v>
      </c>
      <c r="G25" s="6" t="s">
        <v>88</v>
      </c>
      <c r="H25" s="7" t="s">
        <v>89</v>
      </c>
    </row>
    <row r="26" spans="1:8" ht="60" customHeight="1">
      <c r="A26" s="8" t="s">
        <v>90</v>
      </c>
      <c r="B26" s="8" t="s">
        <v>9</v>
      </c>
      <c r="C26" s="9" t="s">
        <v>91</v>
      </c>
      <c r="D26" s="10" t="s">
        <v>85</v>
      </c>
      <c r="E26" s="10" t="s">
        <v>92</v>
      </c>
      <c r="F26" s="12" t="s">
        <v>93</v>
      </c>
      <c r="G26" s="9" t="s">
        <v>94</v>
      </c>
      <c r="H26" s="10" t="s">
        <v>95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4" r:id="rId5"/>
    <hyperlink ref="F15" r:id="rId6"/>
    <hyperlink ref="F16" r:id="rId7"/>
    <hyperlink ref="F17" r:id="rId8"/>
    <hyperlink ref="F18" r:id="rId9"/>
    <hyperlink ref="F19" r:id="rId10"/>
    <hyperlink ref="F20" r:id="rId11"/>
    <hyperlink ref="F21" r:id="rId12"/>
    <hyperlink ref="F22" r:id="rId13"/>
    <hyperlink ref="F23" r:id="rId14"/>
    <hyperlink ref="F24" r:id="rId15"/>
    <hyperlink ref="F25" r:id="rId1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6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16.7109375" customWidth="1"/>
    <col min="2" max="2" width="13.7109375" customWidth="1"/>
    <col min="3" max="3" width="53.7109375" customWidth="1" outlineLevel="2"/>
    <col min="4" max="4" width="19.7109375" customWidth="1" outlineLevel="1"/>
    <col min="5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96</v>
      </c>
      <c r="B1" s="1"/>
      <c r="C1" s="1"/>
      <c r="D1" s="1"/>
      <c r="E1" s="1"/>
      <c r="F1" s="1"/>
      <c r="G1" s="1"/>
      <c r="H1" s="1"/>
    </row>
    <row r="2" spans="1:14">
      <c r="A2" s="2" t="s">
        <v>97</v>
      </c>
      <c r="B2" s="3" t="s">
        <v>98</v>
      </c>
      <c r="G2" s="13" t="s">
        <v>144</v>
      </c>
      <c r="H2" s="13">
        <v>1</v>
      </c>
    </row>
    <row r="3" spans="1:14">
      <c r="A3" s="2" t="s">
        <v>99</v>
      </c>
      <c r="B3" s="3" t="s">
        <v>100</v>
      </c>
      <c r="G3" s="14" t="s">
        <v>146</v>
      </c>
      <c r="H3" s="15">
        <f>TotalCost/BoardQty</f>
        <v>0.0</v>
      </c>
    </row>
    <row r="4" spans="1:14">
      <c r="A4" s="2" t="s">
        <v>101</v>
      </c>
      <c r="B4" s="3" t="s">
        <v>8</v>
      </c>
      <c r="G4" s="14" t="s">
        <v>145</v>
      </c>
      <c r="H4" s="16">
        <f>SUM(H10:H27)</f>
        <v>0</v>
      </c>
      <c r="M4" s="16">
        <f>SUM(M10:M27)</f>
        <v>0</v>
      </c>
      <c r="N4" s="17" t="str">
        <f>(COUNTA(M10:M27)&amp;" of "&amp;ROWS(M10:M27)&amp;" parts found")</f>
        <v>0 of 18 parts found</v>
      </c>
    </row>
    <row r="5" spans="1:14">
      <c r="A5" s="2" t="s">
        <v>102</v>
      </c>
      <c r="B5" s="3" t="s">
        <v>103</v>
      </c>
    </row>
    <row r="6" spans="1:14">
      <c r="A6" s="2" t="s">
        <v>104</v>
      </c>
      <c r="B6" s="3" t="s">
        <v>105</v>
      </c>
    </row>
    <row r="8" spans="1:14">
      <c r="A8" s="18" t="s">
        <v>112</v>
      </c>
      <c r="B8" s="18"/>
      <c r="C8" s="18"/>
      <c r="D8" s="18"/>
      <c r="E8" s="18"/>
      <c r="F8" s="18"/>
      <c r="G8" s="18"/>
      <c r="H8" s="18"/>
      <c r="I8" s="19" t="s">
        <v>136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113</v>
      </c>
      <c r="C9" s="20" t="s">
        <v>6</v>
      </c>
      <c r="D9" s="20" t="s">
        <v>114</v>
      </c>
      <c r="E9" s="20" t="s">
        <v>115</v>
      </c>
      <c r="F9" s="20" t="s">
        <v>116</v>
      </c>
      <c r="G9" s="20" t="s">
        <v>117</v>
      </c>
      <c r="H9" s="20" t="s">
        <v>118</v>
      </c>
      <c r="I9" s="20" t="s">
        <v>137</v>
      </c>
      <c r="J9" s="20" t="s">
        <v>138</v>
      </c>
      <c r="K9" s="20" t="s">
        <v>117</v>
      </c>
      <c r="L9" s="20" t="s">
        <v>139</v>
      </c>
      <c r="M9" s="20" t="s">
        <v>118</v>
      </c>
      <c r="N9" s="20" t="s">
        <v>140</v>
      </c>
    </row>
    <row r="10" spans="1:14">
      <c r="A10" s="21" t="s">
        <v>10</v>
      </c>
      <c r="B10" s="21" t="s">
        <v>119</v>
      </c>
      <c r="C10" s="21" t="s">
        <v>14</v>
      </c>
      <c r="D10" s="21" t="s">
        <v>11</v>
      </c>
      <c r="E10" s="21" t="s">
        <v>12</v>
      </c>
      <c r="F10" s="21">
        <f>CEILING(BoardQty*2,1)</f>
        <v>2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16</v>
      </c>
      <c r="B11" s="21" t="s">
        <v>120</v>
      </c>
      <c r="C11" s="21" t="s">
        <v>20</v>
      </c>
      <c r="D11" s="21" t="s">
        <v>17</v>
      </c>
      <c r="E11" s="21" t="s">
        <v>18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23</v>
      </c>
      <c r="B12" s="21" t="s">
        <v>121</v>
      </c>
      <c r="C12" s="21" t="s">
        <v>27</v>
      </c>
      <c r="D12" s="21" t="s">
        <v>24</v>
      </c>
      <c r="E12" s="21" t="s">
        <v>25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30</v>
      </c>
      <c r="B13" s="21" t="s">
        <v>122</v>
      </c>
      <c r="C13" s="21" t="s">
        <v>34</v>
      </c>
      <c r="D13" s="21" t="s">
        <v>31</v>
      </c>
      <c r="E13" s="21" t="s">
        <v>32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37</v>
      </c>
      <c r="B14" s="21" t="s">
        <v>123</v>
      </c>
      <c r="C14" s="21" t="s">
        <v>39</v>
      </c>
      <c r="F14" s="21">
        <f>BoardQty*1</f>
        <v>1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42</v>
      </c>
      <c r="B15" s="21" t="s">
        <v>124</v>
      </c>
      <c r="C15" s="21" t="s">
        <v>39</v>
      </c>
      <c r="D15" s="21" t="s">
        <v>43</v>
      </c>
      <c r="E15" s="21" t="s">
        <v>44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47</v>
      </c>
      <c r="B16" s="21" t="s">
        <v>125</v>
      </c>
      <c r="C16" s="21" t="s">
        <v>39</v>
      </c>
      <c r="D16" s="21" t="s">
        <v>43</v>
      </c>
      <c r="E16" s="21" t="s">
        <v>48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51</v>
      </c>
      <c r="B17" s="21" t="s">
        <v>126</v>
      </c>
      <c r="C17" s="21" t="s">
        <v>39</v>
      </c>
      <c r="D17" s="21" t="s">
        <v>43</v>
      </c>
      <c r="E17" s="21" t="s">
        <v>52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54</v>
      </c>
      <c r="B18" s="21" t="s">
        <v>127</v>
      </c>
      <c r="C18" s="21" t="s">
        <v>39</v>
      </c>
      <c r="D18" s="21" t="s">
        <v>43</v>
      </c>
      <c r="E18" s="21" t="s">
        <v>55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57</v>
      </c>
      <c r="B19" s="21" t="s">
        <v>128</v>
      </c>
      <c r="C19" s="21" t="s">
        <v>39</v>
      </c>
      <c r="D19" s="21" t="s">
        <v>43</v>
      </c>
      <c r="E19" s="21" t="s">
        <v>58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61</v>
      </c>
      <c r="B20" s="21" t="s">
        <v>129</v>
      </c>
      <c r="C20" s="21" t="s">
        <v>39</v>
      </c>
      <c r="D20" s="21" t="s">
        <v>43</v>
      </c>
      <c r="E20" s="21" t="s">
        <v>62</v>
      </c>
      <c r="F20" s="21">
        <f>CEILING(BoardQty*2,1)</f>
        <v>2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64</v>
      </c>
      <c r="B21" s="21" t="s">
        <v>66</v>
      </c>
      <c r="C21" s="21" t="s">
        <v>68</v>
      </c>
      <c r="D21" s="21" t="s">
        <v>65</v>
      </c>
      <c r="E21" s="21" t="s">
        <v>66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71</v>
      </c>
      <c r="B22" s="21" t="s">
        <v>130</v>
      </c>
      <c r="C22" s="21" t="s">
        <v>75</v>
      </c>
      <c r="D22" s="21" t="s">
        <v>72</v>
      </c>
      <c r="E22" s="21" t="s">
        <v>73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78</v>
      </c>
      <c r="B23" s="21" t="s">
        <v>131</v>
      </c>
      <c r="C23" s="21" t="s">
        <v>75</v>
      </c>
      <c r="D23" s="21" t="s">
        <v>72</v>
      </c>
      <c r="E23" s="21" t="s">
        <v>73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80</v>
      </c>
      <c r="B24" s="21" t="s">
        <v>132</v>
      </c>
      <c r="C24" s="21" t="s">
        <v>75</v>
      </c>
      <c r="D24" s="21" t="s">
        <v>72</v>
      </c>
      <c r="E24" s="21" t="s">
        <v>73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82</v>
      </c>
      <c r="B25" s="21" t="s">
        <v>133</v>
      </c>
      <c r="C25" s="21" t="s">
        <v>75</v>
      </c>
      <c r="D25" s="21" t="s">
        <v>72</v>
      </c>
      <c r="E25" s="21" t="s">
        <v>73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84</v>
      </c>
      <c r="B26" s="21" t="s">
        <v>134</v>
      </c>
      <c r="C26" s="21" t="s">
        <v>88</v>
      </c>
      <c r="D26" s="21" t="s">
        <v>85</v>
      </c>
      <c r="E26" s="21" t="s">
        <v>86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13">
      <c r="A27" s="21" t="s">
        <v>91</v>
      </c>
      <c r="B27" s="21" t="s">
        <v>135</v>
      </c>
      <c r="C27" s="21" t="s">
        <v>94</v>
      </c>
      <c r="D27" s="21" t="s">
        <v>85</v>
      </c>
      <c r="E27" s="21" t="s">
        <v>92</v>
      </c>
      <c r="F27" s="21">
        <f>CEILING(BoardQty*2,1)</f>
        <v>2</v>
      </c>
      <c r="G27" s="22">
        <f>IF(MIN(K27)&lt;&gt;0,MIN(K27),"")</f>
        <v/>
      </c>
      <c r="H27" s="23">
        <f>IF(AND(ISNUMBER(F27),ISNUMBER(G27)),F27*G27,"")</f>
        <v/>
      </c>
    </row>
    <row r="29" spans="1:13">
      <c r="G29" s="14" t="s">
        <v>142</v>
      </c>
      <c r="H29" s="16">
        <f>SUM(M29)</f>
        <v>0</v>
      </c>
      <c r="I29" s="24" t="s">
        <v>141</v>
      </c>
      <c r="J29" s="17">
        <f>IFERROR(IF(COUNTIF(J10:J27,"&gt;0")&gt;0,COUNTIF(J10:J27,"&gt;0")&amp;" of "&amp;(ROWS(L10:L27)-COUNTBLANK(L10:L27))&amp;" parts purchased",""),"")</f>
        <v/>
      </c>
      <c r="M29" s="16">
        <f>SUMIF(J10:J27,"&gt;0",M10:M27)</f>
        <v>0</v>
      </c>
    </row>
    <row r="30" spans="1:13">
      <c r="A30" s="25" t="s">
        <v>147</v>
      </c>
      <c r="B30" s="26" t="s">
        <v>148</v>
      </c>
      <c r="G30" s="27" t="s">
        <v>143</v>
      </c>
      <c r="J30" s="28">
        <f>CONCATENATE(J49,J50,J51,J52,J53,J54,J55,J56,J57,J58,J59,J60,J61,J62,J63,J64,J65,J66)</f>
        <v/>
      </c>
    </row>
    <row r="31" spans="1:13">
      <c r="A31" s="29" t="s">
        <v>149</v>
      </c>
    </row>
    <row r="49" spans="10:10" ht="30" hidden="1" customHeight="1">
      <c r="J49" t="str">
        <f t="array" ref="J49:J66">IF(ISNUMBER(J10:J27)*(J10:J27&gt;=L10:L27)*(N10:N27&lt;&gt;""),N10:N27&amp;"|"&amp;TEXT(ROUNDUP(J10:J27/IF(ISNUMBER(L10:L27),L10:L27,1),0)*L10:L27,"##0")&amp;"|"&amp;SUBSTITUTE(SUBSTITUTE(SUBSTITUTE(IF(PURCHASE_DESCRIPTION&lt;&gt;"",PURCHASE_DESCRIPTION&amp;":","")&amp;A10:A27,"|",";")," ","_"),"
","_")&amp;CHAR(10),"")</f>
        <v/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  <row r="64" spans="10:10" ht="30" hidden="1" customHeight="1">
      <c r="J64">
        <v>0</v>
      </c>
    </row>
    <row r="65" spans="10:10" ht="30" hidden="1" customHeight="1">
      <c r="J65">
        <v>0</v>
      </c>
    </row>
    <row r="66" spans="10:10" ht="30" hidden="1" customHeight="1">
      <c r="J66">
        <v>0</v>
      </c>
    </row>
  </sheetData>
  <mergeCells count="4">
    <mergeCell ref="A8:H8"/>
    <mergeCell ref="I8:N8"/>
    <mergeCell ref="J30:M48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hyperlinks>
    <hyperlink ref="E10" r:id="rId1"/>
    <hyperlink ref="E11" r:id="rId2"/>
    <hyperlink ref="E12" r:id="rId3"/>
    <hyperlink ref="E13" r:id="rId4"/>
    <hyperlink ref="E15" r:id="rId5"/>
    <hyperlink ref="E16" r:id="rId6"/>
    <hyperlink ref="E17" r:id="rId7"/>
    <hyperlink ref="E18" r:id="rId8"/>
    <hyperlink ref="E19" r:id="rId9"/>
    <hyperlink ref="E20" r:id="rId10"/>
    <hyperlink ref="E21" r:id="rId11"/>
    <hyperlink ref="E22" r:id="rId12"/>
    <hyperlink ref="E23" r:id="rId13"/>
    <hyperlink ref="E24" r:id="rId14"/>
    <hyperlink ref="E25" r:id="rId15"/>
    <hyperlink ref="E26" r:id="rId16"/>
    <hyperlink ref="I29" r:id="rId17"/>
  </hyperlinks>
  <pageMargins left="0.7" right="0.7" top="0.75" bottom="0.75" header="0.3" footer="0.3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150</v>
      </c>
    </row>
    <row r="2" spans="1:1">
      <c r="A2" s="6" t="s">
        <v>151</v>
      </c>
    </row>
    <row r="3" spans="1:1">
      <c r="A3" s="5" t="s">
        <v>152</v>
      </c>
    </row>
    <row r="4" spans="1:1">
      <c r="A4" s="7" t="s">
        <v>153</v>
      </c>
    </row>
    <row r="5" spans="1:1">
      <c r="A5" s="11" t="s">
        <v>154</v>
      </c>
    </row>
    <row r="7" spans="1:1">
      <c r="A7" t="s">
        <v>155</v>
      </c>
    </row>
    <row r="8" spans="1:1">
      <c r="A8" s="30" t="s">
        <v>156</v>
      </c>
    </row>
    <row r="9" spans="1:1">
      <c r="A9" s="31" t="s">
        <v>157</v>
      </c>
    </row>
    <row r="10" spans="1:1">
      <c r="A10" s="32" t="s">
        <v>158</v>
      </c>
    </row>
    <row r="11" spans="1:1">
      <c r="A11" s="33" t="s">
        <v>159</v>
      </c>
    </row>
    <row r="12" spans="1:1">
      <c r="A12" s="34" t="s">
        <v>160</v>
      </c>
    </row>
    <row r="13" spans="1:1">
      <c r="A13" s="35" t="s">
        <v>161</v>
      </c>
    </row>
    <row r="14" spans="1:1">
      <c r="A14" s="36" t="s">
        <v>162</v>
      </c>
    </row>
    <row r="15" spans="1:1">
      <c r="A15" s="37" t="s">
        <v>163</v>
      </c>
    </row>
    <row r="16" spans="1:1">
      <c r="A16" s="38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2026-01-07T14:07:57Z</dcterms:created>
  <dcterms:modified xsi:type="dcterms:W3CDTF">2026-01-07T14:07:57Z</dcterms:modified>
</cp:coreProperties>
</file>