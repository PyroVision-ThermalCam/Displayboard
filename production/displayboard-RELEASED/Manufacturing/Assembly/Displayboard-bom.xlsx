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oM" sheetId="1" r:id="rId1"/>
    <sheet name="Costs" sheetId="2" r:id="rId2"/>
    <sheet name="Colors" sheetId="3" r:id="rId3"/>
  </sheets>
  <definedNames>
    <definedName name="BoardQty" localSheetId="1">'Costs'!$H$2</definedName>
    <definedName name="_xlnm.Print_Titles" localSheetId="0">BoM!$9:$9</definedName>
    <definedName name="PURCHASE_DESCRIPTION" localSheetId="1">'Costs'!$H$31</definedName>
    <definedName name="TotalCost" localSheetId="1">'Costs'!$H$4</definedName>
  </definedName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G4" authorId="0">
      <text>
        <r>
          <rPr>
            <sz val="8"/>
            <color indexed="81"/>
            <rFont val="Tahoma"/>
            <family val="2"/>
          </rPr>
          <t>Use the minimum extend price across distributors not taking account available quantities.</t>
        </r>
      </text>
    </comment>
    <comment ref="N4" authorId="0">
      <text>
        <r>
          <rPr>
            <sz val="8"/>
            <color indexed="81"/>
            <rFont val="Tahoma"/>
            <family val="2"/>
          </rPr>
          <t>Number of parts found at this distributor.</t>
        </r>
      </text>
    </comment>
    <comment ref="A9" authorId="0">
      <text>
        <r>
          <rPr>
            <sz val="8"/>
            <color indexed="81"/>
            <rFont val="Tahoma"/>
            <family val="2"/>
          </rPr>
          <t>Schematic identifier for each part.</t>
        </r>
      </text>
    </comment>
    <comment ref="B9" authorId="0">
      <text>
        <r>
          <rPr>
            <sz val="8"/>
            <color indexed="81"/>
            <rFont val="Tahoma"/>
            <family val="2"/>
          </rPr>
          <t>Value of each part.</t>
        </r>
      </text>
    </comment>
    <comment ref="C9" authorId="0">
      <text>
        <r>
          <rPr>
            <sz val="8"/>
            <color indexed="81"/>
            <rFont val="Tahoma"/>
            <family val="2"/>
          </rPr>
          <t>PCB footprint for each part.</t>
        </r>
      </text>
    </comment>
    <comment ref="D9" authorId="0">
      <text>
        <r>
          <rPr>
            <sz val="8"/>
            <color indexed="81"/>
            <rFont val="Tahoma"/>
            <family val="2"/>
          </rPr>
          <t>Manufacturer of each part.</t>
        </r>
      </text>
    </comment>
    <comment ref="E9" authorId="0">
      <text>
        <r>
          <rPr>
            <sz val="8"/>
            <color indexed="81"/>
            <rFont val="Tahoma"/>
            <family val="2"/>
          </rPr>
          <t>Manufacturer number for each part and link to it's datasheet (Ctrl-click).
Purple -&gt; Obsolete part detected by one of the distributors.</t>
        </r>
      </text>
    </comment>
    <comment ref="F9" authorId="0">
      <text>
        <r>
          <rPr>
            <sz val="8"/>
            <color indexed="81"/>
            <rFont val="Tahoma"/>
            <family val="2"/>
          </rPr>
          <t>Total number of each part needed.
Gray -&gt; No manf# provided.
Red -&gt; No parts available.
Orange -&gt; Not enough parts available.
Yellow -&gt; Parts available, but haven't purchased enough.</t>
        </r>
      </text>
    </comment>
    <comment ref="G9" authorId="0">
      <text>
        <r>
          <rPr>
            <sz val="8"/>
            <color indexed="81"/>
            <rFont val="Tahoma"/>
            <family val="2"/>
          </rPr>
          <t>Minimum unit price for each part across all distributors.</t>
        </r>
      </text>
    </comment>
    <comment ref="H9" authorId="0">
      <text>
        <r>
          <rPr>
            <sz val="8"/>
            <color indexed="81"/>
            <rFont val="Tahoma"/>
            <family val="2"/>
          </rPr>
          <t>Minimum extended price for each part across all distributors.</t>
        </r>
      </text>
    </comment>
    <comment ref="I9" authorId="0">
      <text>
        <r>
          <rPr>
            <sz val="8"/>
            <color indexed="81"/>
            <rFont val="Tahoma"/>
            <family val="2"/>
          </rPr>
          <t>Available quantity of each part at the distributor.
Red -&gt; No quantity available.
Orange -&gt; Too little quantity available.</t>
        </r>
      </text>
    </comment>
    <comment ref="J9" authorId="0">
      <text>
        <r>
          <rPr>
            <sz val="8"/>
            <color indexed="81"/>
            <rFont val="Tahoma"/>
            <family val="2"/>
          </rPr>
          <t>Purchase quantity of each part from this distributor.
Yellow -&gt; This part have a minimum purchase quantity bigger than 1 (check the price breaks).
Red -&gt; Purchasing more than the available quantity.</t>
        </r>
      </text>
    </comment>
    <comment ref="K9" authorId="0">
      <text>
        <r>
          <rPr>
            <sz val="8"/>
            <color indexed="81"/>
            <rFont val="Tahoma"/>
            <family val="2"/>
          </rPr>
          <t>Unit price of each part from this distributor.
Green -&gt; lowest price across distributors.</t>
        </r>
      </text>
    </comment>
    <comment ref="L9" authorId="0">
      <text>
        <r>
          <rPr>
            <sz val="8"/>
            <color indexed="81"/>
            <rFont val="Tahoma"/>
            <family val="2"/>
          </rPr>
          <t>Minimum Order Quantity. You must buy at least this ammount of components.</t>
        </r>
      </text>
    </comment>
    <comment ref="M9" authorId="0">
      <text>
        <r>
          <rPr>
            <sz val="8"/>
            <color indexed="81"/>
            <rFont val="Tahoma"/>
            <family val="2"/>
          </rPr>
          <t>(Unit Price) x (Purchase Qty) of each part from this distributor.
Red -&gt; Next price break is cheaper.
Green -&gt; Cheapest supplier.</t>
        </r>
      </text>
    </comment>
    <comment ref="N9" authorId="0">
      <text>
        <r>
          <rPr>
            <sz val="8"/>
            <color indexed="81"/>
            <rFont val="Tahoma"/>
            <family val="2"/>
          </rPr>
          <t>Distributor-assigned catalog number for each part and link to it's web page (ctrl-click). Extra distributor data is shown as comment.</t>
        </r>
      </text>
    </comment>
    <comment ref="G30" authorId="0">
      <text>
        <r>
          <rPr>
            <sz val="8"/>
            <color indexed="81"/>
            <rFont val="Tahoma"/>
            <family val="2"/>
          </rPr>
          <t>This is the total of your cart across all distributors.</t>
        </r>
      </text>
    </comment>
    <comment ref="J30" authorId="0">
      <text>
        <r>
          <rPr>
            <sz val="8"/>
            <color indexed="81"/>
            <rFont val="Tahoma"/>
            <family val="2"/>
          </rPr>
          <t>Copy the information below to the BOM import page of the distributor web site.</t>
        </r>
      </text>
    </comment>
    <comment ref="G31" authorId="0">
      <text>
        <r>
          <rPr>
            <sz val="8"/>
            <color indexed="81"/>
            <rFont val="Tahoma"/>
            <family val="2"/>
          </rPr>
          <t>This description will be added to all purchased parts label and may be used to distinguish the component of different projects.</t>
        </r>
      </text>
    </comment>
  </commentList>
</comments>
</file>

<file path=xl/sharedStrings.xml><?xml version="1.0" encoding="utf-8"?>
<sst xmlns="http://schemas.openxmlformats.org/spreadsheetml/2006/main" count="322" uniqueCount="172">
  <si>
    <t>Row</t>
  </si>
  <si>
    <t>Quantity Per PCB</t>
  </si>
  <si>
    <t>References</t>
  </si>
  <si>
    <t>manf</t>
  </si>
  <si>
    <t>manf#</t>
  </si>
  <si>
    <t>Datasheet</t>
  </si>
  <si>
    <t>Footprint</t>
  </si>
  <si>
    <t>Description</t>
  </si>
  <si>
    <t>1</t>
  </si>
  <si>
    <t>2</t>
  </si>
  <si>
    <t>C401 C402</t>
  </si>
  <si>
    <t>KYOCERA AVX</t>
  </si>
  <si>
    <t>08056C104JAT2A</t>
  </si>
  <si>
    <t>https://datasheets.kyocera-avx.com/X7RDielectric.pdf</t>
  </si>
  <si>
    <t>C_0805_2012Metric</t>
  </si>
  <si>
    <t>Unpolarized capacitor</t>
  </si>
  <si>
    <t>D401</t>
  </si>
  <si>
    <t>Broadcom / Avago</t>
  </si>
  <si>
    <t>ASMB-KTF0-0A306</t>
  </si>
  <si>
    <t>https://4donline.ihs.com/images/VipMasterIC/IC/AVGO/AVGO-S-A0004511384/AVGO-S-A0004511384-1.pdf?hkey=CECEF36DEECDED6468708AAF2E19C0C6</t>
  </si>
  <si>
    <t>LED_ASMB-KTF0-0A306</t>
  </si>
  <si>
    <t>RGB LED, anode/blue/green/red</t>
  </si>
  <si>
    <t>3</t>
  </si>
  <si>
    <t>IC401</t>
  </si>
  <si>
    <t>NXP Semiconductors</t>
  </si>
  <si>
    <t>PCAL6416AHF,128</t>
  </si>
  <si>
    <t>https://www.nxp.com/docs/en/data-sheet/PCAL6416A.pdf</t>
  </si>
  <si>
    <t>HVQFN-24-1EP_4x4mm_P0.5mm_EP2.1x2.1mm</t>
  </si>
  <si>
    <t>IO expander 16 GPIO, I2C 400kHz, Interrupt, 1.65 - 5.5V, HWQFN-24</t>
  </si>
  <si>
    <t>4</t>
  </si>
  <si>
    <t>Q501</t>
  </si>
  <si>
    <t>Nexperia</t>
  </si>
  <si>
    <t>BC817W,135</t>
  </si>
  <si>
    <t>https://assets.nexperia.com/documents/data-sheet/BC817W_SER.pdf</t>
  </si>
  <si>
    <t>SOT-23</t>
  </si>
  <si>
    <t>0.8A Ic, 45V Vce, NPN Transistor, SOT-23</t>
  </si>
  <si>
    <t>5</t>
  </si>
  <si>
    <t>R502</t>
  </si>
  <si>
    <t/>
  </si>
  <si>
    <t>R_0805_2012Metric</t>
  </si>
  <si>
    <t>Resistor</t>
  </si>
  <si>
    <t>6</t>
  </si>
  <si>
    <t>R504</t>
  </si>
  <si>
    <t>Bourns</t>
  </si>
  <si>
    <t>CR0805-JW-101ELF</t>
  </si>
  <si>
    <t>https://eu.mouser.com/datasheet/3/40/1/cr.pdf</t>
  </si>
  <si>
    <t>7</t>
  </si>
  <si>
    <t>R404</t>
  </si>
  <si>
    <t>CR0805-JW-331ELF</t>
  </si>
  <si>
    <t>https://www.mouser.de/datasheet/3/40/1/cr.pdf</t>
  </si>
  <si>
    <t>8</t>
  </si>
  <si>
    <t>R405</t>
  </si>
  <si>
    <t>CR0805-JW-471ELF</t>
  </si>
  <si>
    <t>9</t>
  </si>
  <si>
    <t>R403</t>
  </si>
  <si>
    <t>CR0805-JW-132ELF</t>
  </si>
  <si>
    <t>10</t>
  </si>
  <si>
    <t>R402</t>
  </si>
  <si>
    <t>CR0805-JW-103ELF</t>
  </si>
  <si>
    <t>https://www.mouser.de/datasheet/2/54/cr-1858361.pdf</t>
  </si>
  <si>
    <t>11</t>
  </si>
  <si>
    <t>R401 R503</t>
  </si>
  <si>
    <t>CR0805-JW-104ELF</t>
  </si>
  <si>
    <t>12</t>
  </si>
  <si>
    <t>S401</t>
  </si>
  <si>
    <t>E-Switch</t>
  </si>
  <si>
    <t>JS1400</t>
  </si>
  <si>
    <t>https://configured-product-images.s3.amazonaws.com/2D/specs/JS1400BVQ.pdf</t>
  </si>
  <si>
    <t>JS1400BVQ</t>
  </si>
  <si>
    <t>NAVIGATION, 50mA, 12VDC SPST-NO, 4 Way Directional, Center Select Surface Mount</t>
  </si>
  <si>
    <t>13</t>
  </si>
  <si>
    <t>SW401</t>
  </si>
  <si>
    <t>Wurth Elektronik</t>
  </si>
  <si>
    <t>430182070816</t>
  </si>
  <si>
    <t>https://www.we-online.com/components/products/datasheet/430182095816.pdf</t>
  </si>
  <si>
    <t>WS-TASV-6x6</t>
  </si>
  <si>
    <t>MEC 5E single pole normally-open tactile switch</t>
  </si>
  <si>
    <t>14</t>
  </si>
  <si>
    <t>SW402</t>
  </si>
  <si>
    <t>15</t>
  </si>
  <si>
    <t>SW403</t>
  </si>
  <si>
    <t>16</t>
  </si>
  <si>
    <t>SW404</t>
  </si>
  <si>
    <t>17</t>
  </si>
  <si>
    <t>X502</t>
  </si>
  <si>
    <t>Molex</t>
  </si>
  <si>
    <t>505110-1892</t>
  </si>
  <si>
    <t>~</t>
  </si>
  <si>
    <t>5051101892</t>
  </si>
  <si>
    <t>Generic connectable mounting pin connector, single row, 01x18, script generated (kicad-library-utils/schlib/autogen/connector/)</t>
  </si>
  <si>
    <t>18</t>
  </si>
  <si>
    <t>X503</t>
  </si>
  <si>
    <t>Amphenol Aorora</t>
  </si>
  <si>
    <t>F32R-1A7H1-11014</t>
  </si>
  <si>
    <t>https://cdn.amphenol-cs.com/media/wysiwyg/files/drawing/f32r-f32j.pdf</t>
  </si>
  <si>
    <t>Amphenol_F32R-1A7x1-11014_1x14-1MP_P0.5mm_Horizontal</t>
  </si>
  <si>
    <t>Generic connectable mounting pin connector, single row, 01x14, script generated (kicad-library-utils/schlib/autogen/connector/)</t>
  </si>
  <si>
    <t>19</t>
  </si>
  <si>
    <t>X501</t>
  </si>
  <si>
    <t>F32R-1A7H1-11006</t>
  </si>
  <si>
    <t>Amphenol_F32R-1A7x1-11006_1x06-1MP_P0.5mm_Horizontal</t>
  </si>
  <si>
    <t>Generic connectable mounting pin connector, single row, 01x06, script generated (kicad-library-utils/schlib/autogen/connector/)</t>
  </si>
  <si>
    <t>Bill of Materials</t>
  </si>
  <si>
    <t>Schematic:</t>
  </si>
  <si>
    <t>Displayboard</t>
  </si>
  <si>
    <t>Variant:</t>
  </si>
  <si>
    <t>RELEASED</t>
  </si>
  <si>
    <t>Revision:</t>
  </si>
  <si>
    <t>Date:</t>
  </si>
  <si>
    <t>2025-12-19</t>
  </si>
  <si>
    <t>KiCad Version:</t>
  </si>
  <si>
    <t>9.0.6+1</t>
  </si>
  <si>
    <t>Component Groups:</t>
  </si>
  <si>
    <t>Component Count:</t>
  </si>
  <si>
    <t>21 (20 SMD/ 1 THT)</t>
  </si>
  <si>
    <t>Fitted Components:</t>
  </si>
  <si>
    <t>Number of PCBs:</t>
  </si>
  <si>
    <t>Total Components:</t>
  </si>
  <si>
    <t>Global Part Info</t>
  </si>
  <si>
    <t>Value</t>
  </si>
  <si>
    <t>Manf</t>
  </si>
  <si>
    <t>Manf#</t>
  </si>
  <si>
    <t>Build Quantity</t>
  </si>
  <si>
    <t>Unit$</t>
  </si>
  <si>
    <t>Ext$</t>
  </si>
  <si>
    <t>100n</t>
  </si>
  <si>
    <t>STATUS</t>
  </si>
  <si>
    <t>PCAL6416AHF</t>
  </si>
  <si>
    <t>NPN</t>
  </si>
  <si>
    <t>10R</t>
  </si>
  <si>
    <t>100R</t>
  </si>
  <si>
    <t>330R</t>
  </si>
  <si>
    <t>470R</t>
  </si>
  <si>
    <t>1k3</t>
  </si>
  <si>
    <t>10k</t>
  </si>
  <si>
    <t>100k</t>
  </si>
  <si>
    <t>Button 1</t>
  </si>
  <si>
    <t>Button 2</t>
  </si>
  <si>
    <t>Button 3</t>
  </si>
  <si>
    <t>Button 4</t>
  </si>
  <si>
    <t>Display</t>
  </si>
  <si>
    <t>Mainboard</t>
  </si>
  <si>
    <t>Touch</t>
  </si>
  <si>
    <t>Mouser</t>
  </si>
  <si>
    <t>Avail</t>
  </si>
  <si>
    <t>Purch</t>
  </si>
  <si>
    <t>MOQ</t>
  </si>
  <si>
    <t>Cat#</t>
  </si>
  <si>
    <t>Buy here</t>
  </si>
  <si>
    <t>Total Purchase:</t>
  </si>
  <si>
    <t>Purchase description:</t>
  </si>
  <si>
    <t>Board Qty:</t>
  </si>
  <si>
    <t>Total Cost:</t>
  </si>
  <si>
    <t>Unit Cost:</t>
  </si>
  <si>
    <t>Created:</t>
  </si>
  <si>
    <t>2026-01-17 13:16:43</t>
  </si>
  <si>
    <t>KiCost® v1.1.20 + KiBot v1.8.5</t>
  </si>
  <si>
    <t>Columns colors</t>
  </si>
  <si>
    <t>KiCad Fields (default)</t>
  </si>
  <si>
    <t>Generated Fields</t>
  </si>
  <si>
    <t>User Fields</t>
  </si>
  <si>
    <t>Empty Fields</t>
  </si>
  <si>
    <t>Costs sheet colors</t>
  </si>
  <si>
    <t>Best price</t>
  </si>
  <si>
    <t>No manufacturer or distributor code</t>
  </si>
  <si>
    <t>Not available</t>
  </si>
  <si>
    <t>Purchase quantity is more than what is available</t>
  </si>
  <si>
    <t>Minimum order quantity not respected</t>
  </si>
  <si>
    <t>Total available part quantity is less than needed</t>
  </si>
  <si>
    <t>Total purchased part quantity is less than needed</t>
  </si>
  <si>
    <t>This part is obsolete</t>
  </si>
  <si>
    <t>This part is listed but is not normally stocked</t>
  </si>
</sst>
</file>

<file path=xl/styles.xml><?xml version="1.0" encoding="utf-8"?>
<styleSheet xmlns="http://schemas.openxmlformats.org/spreadsheetml/2006/main">
  <numFmts count="2">
    <numFmt numFmtId="164" formatCode="$#,##0.00"/>
    <numFmt numFmtId="165" formatCode="$#,##0.000"/>
  </numFmts>
  <fonts count="16">
    <font>
      <sz val="11"/>
      <color theme="1"/>
      <name val="Calibri"/>
      <family val="2"/>
      <scheme val="minor"/>
    </font>
    <font>
      <b/>
      <sz val="24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3"/>
      <color rgb="FF008000"/>
      <name val="Calibri"/>
      <family val="2"/>
      <scheme val="minor"/>
    </font>
    <font>
      <b/>
      <sz val="13"/>
      <color rgb="FFFF0000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theme="10"/>
      <name val="Calibri"/>
      <family val="2"/>
    </font>
    <font>
      <sz val="8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909090"/>
      <name val="Calibri"/>
      <family val="2"/>
      <scheme val="minor"/>
    </font>
    <font>
      <sz val="8"/>
      <color indexed="81"/>
      <name val="Tahoma"/>
      <family val="2"/>
    </font>
  </fonts>
  <fills count="19">
    <fill>
      <patternFill patternType="none"/>
    </fill>
    <fill>
      <patternFill patternType="gray125"/>
    </fill>
    <fill>
      <patternFill patternType="solid">
        <fgColor rgb="FF0E4E8E"/>
        <bgColor indexed="64"/>
      </patternFill>
    </fill>
    <fill>
      <patternFill patternType="solid">
        <fgColor rgb="FFE6FFEE"/>
        <bgColor indexed="64"/>
      </patternFill>
    </fill>
    <fill>
      <patternFill patternType="solid">
        <fgColor rgb="FFFFE6B3"/>
        <bgColor indexed="64"/>
      </patternFill>
    </fill>
    <fill>
      <patternFill patternType="solid">
        <fgColor rgb="FFE6F9FF"/>
        <bgColor indexed="64"/>
      </patternFill>
    </fill>
    <fill>
      <patternFill patternType="solid">
        <fgColor rgb="FFF0FFF4"/>
        <bgColor indexed="64"/>
      </patternFill>
    </fill>
    <fill>
      <patternFill patternType="solid">
        <fgColor rgb="FFFFF0BD"/>
        <bgColor indexed="64"/>
      </patternFill>
    </fill>
    <fill>
      <patternFill patternType="solid">
        <fgColor rgb="FFF0FFFF"/>
        <bgColor indexed="64"/>
      </patternFill>
    </fill>
    <fill>
      <patternFill patternType="solid">
        <fgColor rgb="FFFF8080"/>
        <bgColor indexed="64"/>
      </patternFill>
    </fill>
    <fill>
      <patternFill patternType="solid">
        <fgColor rgb="FF004A85"/>
        <bgColor indexed="64"/>
      </patternFill>
    </fill>
    <fill>
      <patternFill patternType="solid">
        <fgColor rgb="FF80FF80"/>
        <bgColor indexed="64"/>
      </patternFill>
    </fill>
    <fill>
      <patternFill patternType="solid">
        <fgColor rgb="FFAAAAAA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4040"/>
        <bgColor indexed="64"/>
      </patternFill>
    </fill>
    <fill>
      <patternFill patternType="solid">
        <fgColor rgb="FFFF6060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000C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0" fillId="0" borderId="0" applyNumberFormat="0" applyFill="0" applyBorder="0" applyAlignment="0" applyProtection="0">
      <alignment vertical="top"/>
      <protection locked="0"/>
    </xf>
  </cellStyleXfs>
  <cellXfs count="38">
    <xf numFmtId="0" fontId="0" fillId="0" borderId="0" xfId="0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0" borderId="0" xfId="0" applyAlignment="1">
      <alignment horizontal="left"/>
    </xf>
    <xf numFmtId="0" fontId="3" fillId="2" borderId="0" xfId="0" applyFont="1" applyFill="1" applyAlignment="1">
      <alignment horizontal="centerContinuous" vertical="center" wrapText="1"/>
    </xf>
    <xf numFmtId="0" fontId="0" fillId="3" borderId="0" xfId="0" applyFill="1" applyAlignment="1">
      <alignment horizontal="centerContinuous" vertical="center" wrapText="1"/>
    </xf>
    <xf numFmtId="0" fontId="0" fillId="4" borderId="0" xfId="0" applyFill="1" applyAlignment="1">
      <alignment horizontal="centerContinuous" vertical="center" wrapText="1"/>
    </xf>
    <xf numFmtId="0" fontId="0" fillId="5" borderId="0" xfId="0" applyFill="1" applyAlignment="1">
      <alignment horizontal="centerContinuous" vertical="center" wrapText="1"/>
    </xf>
    <xf numFmtId="0" fontId="0" fillId="6" borderId="0" xfId="0" applyFill="1" applyAlignment="1">
      <alignment horizontal="centerContinuous" vertical="center" wrapText="1"/>
    </xf>
    <xf numFmtId="0" fontId="0" fillId="7" borderId="0" xfId="0" applyFill="1" applyAlignment="1">
      <alignment horizontal="centerContinuous" vertical="center" wrapText="1"/>
    </xf>
    <xf numFmtId="0" fontId="0" fillId="8" borderId="0" xfId="0" applyFill="1" applyAlignment="1">
      <alignment horizontal="centerContinuous" vertical="center" wrapText="1"/>
    </xf>
    <xf numFmtId="0" fontId="0" fillId="9" borderId="0" xfId="0" applyFill="1" applyAlignment="1">
      <alignment horizontal="centerContinuous" vertical="center" wrapText="1"/>
    </xf>
    <xf numFmtId="0" fontId="4" fillId="0" borderId="0" xfId="0" applyFont="1" applyAlignment="1">
      <alignment horizontal="right"/>
    </xf>
    <xf numFmtId="0" fontId="4" fillId="0" borderId="0" xfId="0" applyFont="1" applyAlignment="1">
      <alignment horizontal="right" vertical="center"/>
    </xf>
    <xf numFmtId="164" fontId="5" fillId="0" borderId="0" xfId="0" applyNumberFormat="1" applyFont="1" applyAlignment="1">
      <alignment vertical="center"/>
    </xf>
    <xf numFmtId="164" fontId="6" fillId="0" borderId="0" xfId="0" applyNumberFormat="1" applyFont="1" applyAlignment="1">
      <alignment vertical="center"/>
    </xf>
    <xf numFmtId="0" fontId="7" fillId="0" borderId="0" xfId="0" applyFont="1" applyAlignment="1">
      <alignment vertical="center"/>
    </xf>
    <xf numFmtId="0" fontId="8" fillId="2" borderId="0" xfId="0" applyFont="1" applyFill="1" applyAlignment="1">
      <alignment horizontal="center" vertical="center"/>
    </xf>
    <xf numFmtId="0" fontId="8" fillId="10" borderId="0" xfId="0" applyFont="1" applyFill="1" applyAlignment="1">
      <alignment horizontal="center" vertical="center"/>
    </xf>
    <xf numFmtId="0" fontId="9" fillId="2" borderId="0" xfId="0" applyFont="1" applyFill="1" applyAlignment="1">
      <alignment horizontal="center" vertical="top" wrapText="1"/>
    </xf>
    <xf numFmtId="0" fontId="0" fillId="0" borderId="0" xfId="0" applyAlignment="1">
      <alignment vertical="center" wrapText="1"/>
    </xf>
    <xf numFmtId="165" fontId="0" fillId="0" borderId="0" xfId="0" applyNumberFormat="1" applyAlignment="1">
      <alignment vertical="center"/>
    </xf>
    <xf numFmtId="164" fontId="0" fillId="0" borderId="0" xfId="0" applyNumberFormat="1" applyAlignment="1">
      <alignment vertical="center"/>
    </xf>
    <xf numFmtId="0" fontId="10" fillId="0" borderId="0" xfId="1" applyAlignment="1" applyProtection="1"/>
    <xf numFmtId="0" fontId="2" fillId="0" borderId="0" xfId="0" applyFont="1" applyAlignment="1">
      <alignment horizontal="righ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right"/>
    </xf>
    <xf numFmtId="0" fontId="0" fillId="0" borderId="0" xfId="0" applyAlignment="1">
      <alignment vertical="top" wrapText="1"/>
    </xf>
    <xf numFmtId="0" fontId="11" fillId="0" borderId="0" xfId="0" applyFont="1" applyAlignment="1">
      <alignment horizontal="left" vertical="center"/>
    </xf>
    <xf numFmtId="0" fontId="0" fillId="11" borderId="0" xfId="0" applyFill="1"/>
    <xf numFmtId="0" fontId="0" fillId="12" borderId="0" xfId="0" applyFill="1"/>
    <xf numFmtId="0" fontId="12" fillId="13" borderId="0" xfId="0" applyFont="1" applyFill="1"/>
    <xf numFmtId="0" fontId="12" fillId="14" borderId="0" xfId="0" applyFont="1" applyFill="1"/>
    <xf numFmtId="0" fontId="0" fillId="15" borderId="0" xfId="0" applyFill="1"/>
    <xf numFmtId="0" fontId="13" fillId="16" borderId="0" xfId="0" applyFont="1" applyFill="1"/>
    <xf numFmtId="0" fontId="0" fillId="17" borderId="0" xfId="0" applyFill="1"/>
    <xf numFmtId="0" fontId="0" fillId="18" borderId="0" xfId="0" applyFill="1" applyAlignment="1">
      <alignment vertical="center" wrapText="1"/>
    </xf>
    <xf numFmtId="0" fontId="14" fillId="0" borderId="0" xfId="0" applyFont="1" applyAlignment="1">
      <alignment horizontal="right" vertical="center"/>
    </xf>
  </cellXfs>
  <cellStyles count="2">
    <cellStyle name="Hyperlink" xfId="1" builtinId="8"/>
    <cellStyle name="Normal" xfId="0" builtinId="0"/>
  </cellStyles>
  <dxfs count="4">
    <dxf>
      <fill>
        <patternFill>
          <bgColor rgb="FFAAAAAA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000000"/>
      </font>
      <fill>
        <patternFill>
          <bgColor rgb="FFFF9900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datasheets.kyocera-avx.com/X7RDielectric.pdf" TargetMode="External"/><Relationship Id="rId2" Type="http://schemas.openxmlformats.org/officeDocument/2006/relationships/hyperlink" Target="https://4donline.ihs.com/images/VipMasterIC/IC/AVGO/AVGO-S-A0004511384/AVGO-S-A0004511384-1.pdf?hkey=CECEF36DEECDED6468708AAF2E19C0C6" TargetMode="External"/><Relationship Id="rId3" Type="http://schemas.openxmlformats.org/officeDocument/2006/relationships/hyperlink" Target="https://www.nxp.com/docs/en/data-sheet/PCAL6416A.pdf" TargetMode="External"/><Relationship Id="rId4" Type="http://schemas.openxmlformats.org/officeDocument/2006/relationships/hyperlink" Target="https://assets.nexperia.com/documents/data-sheet/BC817W_SER.pdf" TargetMode="External"/><Relationship Id="rId5" Type="http://schemas.openxmlformats.org/officeDocument/2006/relationships/hyperlink" Target="https://eu.mouser.com/datasheet/3/40/1/cr.pdf" TargetMode="External"/><Relationship Id="rId6" Type="http://schemas.openxmlformats.org/officeDocument/2006/relationships/hyperlink" Target="https://www.mouser.de/datasheet/3/40/1/cr.pdf" TargetMode="External"/><Relationship Id="rId7" Type="http://schemas.openxmlformats.org/officeDocument/2006/relationships/hyperlink" Target="https://www.mouser.de/datasheet/3/40/1/cr.pdf" TargetMode="External"/><Relationship Id="rId8" Type="http://schemas.openxmlformats.org/officeDocument/2006/relationships/hyperlink" Target="https://eu.mouser.com/datasheet/3/40/1/cr.pdf" TargetMode="External"/><Relationship Id="rId9" Type="http://schemas.openxmlformats.org/officeDocument/2006/relationships/hyperlink" Target="https://www.mouser.de/datasheet/2/54/cr-1858361.pdf" TargetMode="External"/><Relationship Id="rId10" Type="http://schemas.openxmlformats.org/officeDocument/2006/relationships/hyperlink" Target="https://www.mouser.de/datasheet/2/54/cr-1858361.pdf" TargetMode="External"/><Relationship Id="rId11" Type="http://schemas.openxmlformats.org/officeDocument/2006/relationships/hyperlink" Target="https://configured-product-images.s3.amazonaws.com/2D/specs/JS1400BVQ.pdf" TargetMode="External"/><Relationship Id="rId12" Type="http://schemas.openxmlformats.org/officeDocument/2006/relationships/hyperlink" Target="https://www.we-online.com/components/products/datasheet/430182095816.pdf" TargetMode="External"/><Relationship Id="rId13" Type="http://schemas.openxmlformats.org/officeDocument/2006/relationships/hyperlink" Target="https://www.we-online.com/components/products/datasheet/430182095816.pdf" TargetMode="External"/><Relationship Id="rId14" Type="http://schemas.openxmlformats.org/officeDocument/2006/relationships/hyperlink" Target="https://www.we-online.com/components/products/datasheet/430182095816.pdf" TargetMode="External"/><Relationship Id="rId15" Type="http://schemas.openxmlformats.org/officeDocument/2006/relationships/hyperlink" Target="https://www.we-online.com/components/products/datasheet/430182095816.pdf" TargetMode="External"/><Relationship Id="rId16" Type="http://schemas.openxmlformats.org/officeDocument/2006/relationships/hyperlink" Target="https://cdn.amphenol-cs.com/media/wysiwyg/files/drawing/f32r-f32j.pdf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datasheets.kyocera-avx.com/X7RDielectric.pdf" TargetMode="External"/><Relationship Id="rId2" Type="http://schemas.openxmlformats.org/officeDocument/2006/relationships/hyperlink" Target="https://4donline.ihs.com/images/VipMasterIC/IC/AVGO/AVGO-S-A0004511384/AVGO-S-A0004511384-1.pdf?hkey=CECEF36DEECDED6468708AAF2E19C0C6" TargetMode="External"/><Relationship Id="rId3" Type="http://schemas.openxmlformats.org/officeDocument/2006/relationships/hyperlink" Target="https://www.nxp.com/docs/en/data-sheet/PCAL6416A.pdf" TargetMode="External"/><Relationship Id="rId4" Type="http://schemas.openxmlformats.org/officeDocument/2006/relationships/hyperlink" Target="https://assets.nexperia.com/documents/data-sheet/BC817W_SER.pdf" TargetMode="External"/><Relationship Id="rId5" Type="http://schemas.openxmlformats.org/officeDocument/2006/relationships/hyperlink" Target="https://eu.mouser.com/datasheet/3/40/1/cr.pdf" TargetMode="External"/><Relationship Id="rId6" Type="http://schemas.openxmlformats.org/officeDocument/2006/relationships/hyperlink" Target="https://www.mouser.de/datasheet/3/40/1/cr.pdf" TargetMode="External"/><Relationship Id="rId7" Type="http://schemas.openxmlformats.org/officeDocument/2006/relationships/hyperlink" Target="https://www.mouser.de/datasheet/3/40/1/cr.pdf" TargetMode="External"/><Relationship Id="rId8" Type="http://schemas.openxmlformats.org/officeDocument/2006/relationships/hyperlink" Target="https://eu.mouser.com/datasheet/3/40/1/cr.pdf" TargetMode="External"/><Relationship Id="rId9" Type="http://schemas.openxmlformats.org/officeDocument/2006/relationships/hyperlink" Target="https://www.mouser.de/datasheet/2/54/cr-1858361.pdf" TargetMode="External"/><Relationship Id="rId10" Type="http://schemas.openxmlformats.org/officeDocument/2006/relationships/hyperlink" Target="https://www.mouser.de/datasheet/2/54/cr-1858361.pdf" TargetMode="External"/><Relationship Id="rId11" Type="http://schemas.openxmlformats.org/officeDocument/2006/relationships/hyperlink" Target="https://configured-product-images.s3.amazonaws.com/2D/specs/JS1400BVQ.pdf" TargetMode="External"/><Relationship Id="rId12" Type="http://schemas.openxmlformats.org/officeDocument/2006/relationships/hyperlink" Target="https://www.we-online.com/components/products/datasheet/430182095816.pdf" TargetMode="External"/><Relationship Id="rId13" Type="http://schemas.openxmlformats.org/officeDocument/2006/relationships/hyperlink" Target="https://www.we-online.com/components/products/datasheet/430182095816.pdf" TargetMode="External"/><Relationship Id="rId14" Type="http://schemas.openxmlformats.org/officeDocument/2006/relationships/hyperlink" Target="https://www.we-online.com/components/products/datasheet/430182095816.pdf" TargetMode="External"/><Relationship Id="rId15" Type="http://schemas.openxmlformats.org/officeDocument/2006/relationships/hyperlink" Target="https://www.we-online.com/components/products/datasheet/430182095816.pdf" TargetMode="External"/><Relationship Id="rId16" Type="http://schemas.openxmlformats.org/officeDocument/2006/relationships/hyperlink" Target="https://cdn.amphenol-cs.com/media/wysiwyg/files/drawing/f32r-f32j.pdf" TargetMode="External"/><Relationship Id="rId17" Type="http://schemas.openxmlformats.org/officeDocument/2006/relationships/hyperlink" Target="https://mouser.com/bom/" TargetMode="External"/><Relationship Id="rId18" Type="http://schemas.openxmlformats.org/officeDocument/2006/relationships/vmlDrawing" Target="../drawings/vmlDrawing1.vml"/><Relationship Id="rId19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7"/>
  <sheetViews>
    <sheetView tabSelected="1" workbookViewId="0">
      <pane ySplit="8" topLeftCell="A9" activePane="bottomLeft" state="frozen"/>
      <selection pane="bottomLeft"/>
    </sheetView>
  </sheetViews>
  <sheetFormatPr defaultRowHeight="15"/>
  <cols>
    <col min="1" max="1" width="15.7109375" customWidth="1"/>
    <col min="2" max="2" width="26.7109375" customWidth="1"/>
    <col min="3" max="3" width="20.7109375" customWidth="1"/>
    <col min="4" max="4" width="23.7109375" customWidth="1"/>
    <col min="5" max="5" width="21.7109375" customWidth="1"/>
    <col min="6" max="6" width="60.7109375" customWidth="1"/>
    <col min="7" max="7" width="57.7109375" customWidth="1"/>
    <col min="8" max="8" width="60.7109375" customWidth="1"/>
  </cols>
  <sheetData>
    <row r="1" spans="1:8" ht="32" customHeight="1">
      <c r="A1" s="1" t="s">
        <v>102</v>
      </c>
      <c r="B1" s="1"/>
      <c r="C1" s="1"/>
      <c r="D1" s="1"/>
      <c r="E1" s="1"/>
      <c r="F1" s="1"/>
      <c r="G1" s="1"/>
      <c r="H1" s="1"/>
    </row>
    <row r="2" spans="1:8">
      <c r="A2" s="2" t="s">
        <v>103</v>
      </c>
      <c r="B2" s="3" t="s">
        <v>104</v>
      </c>
      <c r="C2" s="2" t="s">
        <v>112</v>
      </c>
      <c r="D2" s="3">
        <v>19</v>
      </c>
    </row>
    <row r="3" spans="1:8">
      <c r="A3" s="2" t="s">
        <v>105</v>
      </c>
      <c r="B3" s="3" t="s">
        <v>106</v>
      </c>
      <c r="C3" s="2" t="s">
        <v>113</v>
      </c>
      <c r="D3" s="3" t="s">
        <v>114</v>
      </c>
    </row>
    <row r="4" spans="1:8">
      <c r="A4" s="2" t="s">
        <v>107</v>
      </c>
      <c r="B4" s="3" t="s">
        <v>8</v>
      </c>
      <c r="C4" s="2" t="s">
        <v>115</v>
      </c>
      <c r="D4" s="3" t="s">
        <v>114</v>
      </c>
    </row>
    <row r="5" spans="1:8">
      <c r="A5" s="2" t="s">
        <v>108</v>
      </c>
      <c r="B5" s="3" t="s">
        <v>109</v>
      </c>
      <c r="C5" s="2" t="s">
        <v>116</v>
      </c>
      <c r="D5" s="3">
        <v>1</v>
      </c>
    </row>
    <row r="6" spans="1:8">
      <c r="A6" s="2" t="s">
        <v>110</v>
      </c>
      <c r="B6" s="3" t="s">
        <v>111</v>
      </c>
      <c r="C6" s="2" t="s">
        <v>117</v>
      </c>
      <c r="D6" s="3">
        <v>21</v>
      </c>
    </row>
    <row r="8" spans="1:8">
      <c r="A8" s="4" t="s">
        <v>0</v>
      </c>
      <c r="B8" s="4" t="s">
        <v>1</v>
      </c>
      <c r="C8" s="4" t="s">
        <v>2</v>
      </c>
      <c r="D8" s="4" t="s">
        <v>3</v>
      </c>
      <c r="E8" s="4" t="s">
        <v>4</v>
      </c>
      <c r="F8" s="4" t="s">
        <v>5</v>
      </c>
      <c r="G8" s="4" t="s">
        <v>6</v>
      </c>
      <c r="H8" s="4" t="s">
        <v>7</v>
      </c>
    </row>
    <row r="9" spans="1:8">
      <c r="A9" s="5" t="s">
        <v>8</v>
      </c>
      <c r="B9" s="5" t="s">
        <v>9</v>
      </c>
      <c r="C9" s="6" t="s">
        <v>10</v>
      </c>
      <c r="D9" s="7" t="s">
        <v>11</v>
      </c>
      <c r="E9" s="7" t="s">
        <v>12</v>
      </c>
      <c r="F9" s="6" t="s">
        <v>13</v>
      </c>
      <c r="G9" s="6" t="s">
        <v>14</v>
      </c>
      <c r="H9" s="7" t="s">
        <v>15</v>
      </c>
    </row>
    <row r="10" spans="1:8" ht="45" customHeight="1">
      <c r="A10" s="8" t="s">
        <v>9</v>
      </c>
      <c r="B10" s="8" t="s">
        <v>8</v>
      </c>
      <c r="C10" s="9" t="s">
        <v>16</v>
      </c>
      <c r="D10" s="10" t="s">
        <v>17</v>
      </c>
      <c r="E10" s="10" t="s">
        <v>18</v>
      </c>
      <c r="F10" s="9" t="s">
        <v>19</v>
      </c>
      <c r="G10" s="9" t="s">
        <v>20</v>
      </c>
      <c r="H10" s="10" t="s">
        <v>21</v>
      </c>
    </row>
    <row r="11" spans="1:8" ht="30" customHeight="1">
      <c r="A11" s="5" t="s">
        <v>22</v>
      </c>
      <c r="B11" s="5" t="s">
        <v>8</v>
      </c>
      <c r="C11" s="6" t="s">
        <v>23</v>
      </c>
      <c r="D11" s="7" t="s">
        <v>24</v>
      </c>
      <c r="E11" s="7" t="s">
        <v>25</v>
      </c>
      <c r="F11" s="6" t="s">
        <v>26</v>
      </c>
      <c r="G11" s="6" t="s">
        <v>27</v>
      </c>
      <c r="H11" s="7" t="s">
        <v>28</v>
      </c>
    </row>
    <row r="12" spans="1:8" ht="30" customHeight="1">
      <c r="A12" s="8" t="s">
        <v>29</v>
      </c>
      <c r="B12" s="8" t="s">
        <v>8</v>
      </c>
      <c r="C12" s="9" t="s">
        <v>30</v>
      </c>
      <c r="D12" s="10" t="s">
        <v>31</v>
      </c>
      <c r="E12" s="10" t="s">
        <v>32</v>
      </c>
      <c r="F12" s="9" t="s">
        <v>33</v>
      </c>
      <c r="G12" s="9" t="s">
        <v>34</v>
      </c>
      <c r="H12" s="10" t="s">
        <v>35</v>
      </c>
    </row>
    <row r="13" spans="1:8">
      <c r="A13" s="5" t="s">
        <v>36</v>
      </c>
      <c r="B13" s="5" t="s">
        <v>8</v>
      </c>
      <c r="C13" s="6" t="s">
        <v>37</v>
      </c>
      <c r="D13" s="11" t="s">
        <v>38</v>
      </c>
      <c r="E13" s="11" t="s">
        <v>38</v>
      </c>
      <c r="F13" s="11" t="s">
        <v>38</v>
      </c>
      <c r="G13" s="6" t="s">
        <v>39</v>
      </c>
      <c r="H13" s="7" t="s">
        <v>40</v>
      </c>
    </row>
    <row r="14" spans="1:8">
      <c r="A14" s="8" t="s">
        <v>41</v>
      </c>
      <c r="B14" s="8" t="s">
        <v>8</v>
      </c>
      <c r="C14" s="9" t="s">
        <v>42</v>
      </c>
      <c r="D14" s="10" t="s">
        <v>43</v>
      </c>
      <c r="E14" s="10" t="s">
        <v>44</v>
      </c>
      <c r="F14" s="9" t="s">
        <v>45</v>
      </c>
      <c r="G14" s="9" t="s">
        <v>39</v>
      </c>
      <c r="H14" s="10" t="s">
        <v>40</v>
      </c>
    </row>
    <row r="15" spans="1:8">
      <c r="A15" s="5" t="s">
        <v>46</v>
      </c>
      <c r="B15" s="5" t="s">
        <v>8</v>
      </c>
      <c r="C15" s="6" t="s">
        <v>47</v>
      </c>
      <c r="D15" s="7" t="s">
        <v>43</v>
      </c>
      <c r="E15" s="7" t="s">
        <v>48</v>
      </c>
      <c r="F15" s="6" t="s">
        <v>49</v>
      </c>
      <c r="G15" s="6" t="s">
        <v>39</v>
      </c>
      <c r="H15" s="7" t="s">
        <v>40</v>
      </c>
    </row>
    <row r="16" spans="1:8">
      <c r="A16" s="8" t="s">
        <v>50</v>
      </c>
      <c r="B16" s="8" t="s">
        <v>8</v>
      </c>
      <c r="C16" s="9" t="s">
        <v>51</v>
      </c>
      <c r="D16" s="10" t="s">
        <v>43</v>
      </c>
      <c r="E16" s="10" t="s">
        <v>52</v>
      </c>
      <c r="F16" s="9" t="s">
        <v>49</v>
      </c>
      <c r="G16" s="9" t="s">
        <v>39</v>
      </c>
      <c r="H16" s="10" t="s">
        <v>40</v>
      </c>
    </row>
    <row r="17" spans="1:8">
      <c r="A17" s="5" t="s">
        <v>53</v>
      </c>
      <c r="B17" s="5" t="s">
        <v>8</v>
      </c>
      <c r="C17" s="6" t="s">
        <v>54</v>
      </c>
      <c r="D17" s="7" t="s">
        <v>43</v>
      </c>
      <c r="E17" s="7" t="s">
        <v>55</v>
      </c>
      <c r="F17" s="6" t="s">
        <v>45</v>
      </c>
      <c r="G17" s="6" t="s">
        <v>39</v>
      </c>
      <c r="H17" s="7" t="s">
        <v>40</v>
      </c>
    </row>
    <row r="18" spans="1:8">
      <c r="A18" s="8" t="s">
        <v>56</v>
      </c>
      <c r="B18" s="8" t="s">
        <v>8</v>
      </c>
      <c r="C18" s="9" t="s">
        <v>57</v>
      </c>
      <c r="D18" s="10" t="s">
        <v>43</v>
      </c>
      <c r="E18" s="10" t="s">
        <v>58</v>
      </c>
      <c r="F18" s="9" t="s">
        <v>59</v>
      </c>
      <c r="G18" s="9" t="s">
        <v>39</v>
      </c>
      <c r="H18" s="10" t="s">
        <v>40</v>
      </c>
    </row>
    <row r="19" spans="1:8">
      <c r="A19" s="5" t="s">
        <v>60</v>
      </c>
      <c r="B19" s="5" t="s">
        <v>9</v>
      </c>
      <c r="C19" s="6" t="s">
        <v>61</v>
      </c>
      <c r="D19" s="7" t="s">
        <v>43</v>
      </c>
      <c r="E19" s="7" t="s">
        <v>62</v>
      </c>
      <c r="F19" s="6" t="s">
        <v>59</v>
      </c>
      <c r="G19" s="6" t="s">
        <v>39</v>
      </c>
      <c r="H19" s="7" t="s">
        <v>40</v>
      </c>
    </row>
    <row r="20" spans="1:8" ht="30" customHeight="1">
      <c r="A20" s="8" t="s">
        <v>63</v>
      </c>
      <c r="B20" s="8" t="s">
        <v>8</v>
      </c>
      <c r="C20" s="9" t="s">
        <v>64</v>
      </c>
      <c r="D20" s="10" t="s">
        <v>65</v>
      </c>
      <c r="E20" s="10" t="s">
        <v>66</v>
      </c>
      <c r="F20" s="9" t="s">
        <v>67</v>
      </c>
      <c r="G20" s="9" t="s">
        <v>68</v>
      </c>
      <c r="H20" s="10" t="s">
        <v>69</v>
      </c>
    </row>
    <row r="21" spans="1:8" ht="30" customHeight="1">
      <c r="A21" s="5" t="s">
        <v>70</v>
      </c>
      <c r="B21" s="5" t="s">
        <v>8</v>
      </c>
      <c r="C21" s="6" t="s">
        <v>71</v>
      </c>
      <c r="D21" s="7" t="s">
        <v>72</v>
      </c>
      <c r="E21" s="7" t="s">
        <v>73</v>
      </c>
      <c r="F21" s="6" t="s">
        <v>74</v>
      </c>
      <c r="G21" s="6" t="s">
        <v>75</v>
      </c>
      <c r="H21" s="7" t="s">
        <v>76</v>
      </c>
    </row>
    <row r="22" spans="1:8" ht="30" customHeight="1">
      <c r="A22" s="8" t="s">
        <v>77</v>
      </c>
      <c r="B22" s="8" t="s">
        <v>8</v>
      </c>
      <c r="C22" s="9" t="s">
        <v>78</v>
      </c>
      <c r="D22" s="10" t="s">
        <v>72</v>
      </c>
      <c r="E22" s="10" t="s">
        <v>73</v>
      </c>
      <c r="F22" s="9" t="s">
        <v>74</v>
      </c>
      <c r="G22" s="9" t="s">
        <v>75</v>
      </c>
      <c r="H22" s="10" t="s">
        <v>76</v>
      </c>
    </row>
    <row r="23" spans="1:8" ht="30" customHeight="1">
      <c r="A23" s="5" t="s">
        <v>79</v>
      </c>
      <c r="B23" s="5" t="s">
        <v>8</v>
      </c>
      <c r="C23" s="6" t="s">
        <v>80</v>
      </c>
      <c r="D23" s="7" t="s">
        <v>72</v>
      </c>
      <c r="E23" s="7" t="s">
        <v>73</v>
      </c>
      <c r="F23" s="6" t="s">
        <v>74</v>
      </c>
      <c r="G23" s="6" t="s">
        <v>75</v>
      </c>
      <c r="H23" s="7" t="s">
        <v>76</v>
      </c>
    </row>
    <row r="24" spans="1:8" ht="30" customHeight="1">
      <c r="A24" s="8" t="s">
        <v>81</v>
      </c>
      <c r="B24" s="8" t="s">
        <v>8</v>
      </c>
      <c r="C24" s="9" t="s">
        <v>82</v>
      </c>
      <c r="D24" s="10" t="s">
        <v>72</v>
      </c>
      <c r="E24" s="10" t="s">
        <v>73</v>
      </c>
      <c r="F24" s="9" t="s">
        <v>74</v>
      </c>
      <c r="G24" s="9" t="s">
        <v>75</v>
      </c>
      <c r="H24" s="10" t="s">
        <v>76</v>
      </c>
    </row>
    <row r="25" spans="1:8" ht="45" customHeight="1">
      <c r="A25" s="5" t="s">
        <v>83</v>
      </c>
      <c r="B25" s="5" t="s">
        <v>8</v>
      </c>
      <c r="C25" s="6" t="s">
        <v>84</v>
      </c>
      <c r="D25" s="7" t="s">
        <v>85</v>
      </c>
      <c r="E25" s="7" t="s">
        <v>86</v>
      </c>
      <c r="F25" s="11" t="s">
        <v>87</v>
      </c>
      <c r="G25" s="6" t="s">
        <v>88</v>
      </c>
      <c r="H25" s="7" t="s">
        <v>89</v>
      </c>
    </row>
    <row r="26" spans="1:8" ht="45" customHeight="1">
      <c r="A26" s="8" t="s">
        <v>90</v>
      </c>
      <c r="B26" s="8" t="s">
        <v>8</v>
      </c>
      <c r="C26" s="9" t="s">
        <v>91</v>
      </c>
      <c r="D26" s="10" t="s">
        <v>92</v>
      </c>
      <c r="E26" s="10" t="s">
        <v>93</v>
      </c>
      <c r="F26" s="9" t="s">
        <v>94</v>
      </c>
      <c r="G26" s="9" t="s">
        <v>95</v>
      </c>
      <c r="H26" s="10" t="s">
        <v>96</v>
      </c>
    </row>
    <row r="27" spans="1:8" ht="45" customHeight="1">
      <c r="A27" s="5" t="s">
        <v>97</v>
      </c>
      <c r="B27" s="5" t="s">
        <v>8</v>
      </c>
      <c r="C27" s="6" t="s">
        <v>98</v>
      </c>
      <c r="D27" s="7" t="s">
        <v>92</v>
      </c>
      <c r="E27" s="7" t="s">
        <v>99</v>
      </c>
      <c r="F27" s="11" t="s">
        <v>87</v>
      </c>
      <c r="G27" s="6" t="s">
        <v>100</v>
      </c>
      <c r="H27" s="7" t="s">
        <v>101</v>
      </c>
    </row>
  </sheetData>
  <mergeCells count="1">
    <mergeCell ref="A1:H1"/>
  </mergeCells>
  <hyperlinks>
    <hyperlink ref="F9" r:id="rId1"/>
    <hyperlink ref="F10" r:id="rId2"/>
    <hyperlink ref="F11" r:id="rId3"/>
    <hyperlink ref="F12" r:id="rId4"/>
    <hyperlink ref="F14" r:id="rId5"/>
    <hyperlink ref="F15" r:id="rId6"/>
    <hyperlink ref="F16" r:id="rId7"/>
    <hyperlink ref="F17" r:id="rId8"/>
    <hyperlink ref="F18" r:id="rId9"/>
    <hyperlink ref="F19" r:id="rId10"/>
    <hyperlink ref="F20" r:id="rId11"/>
    <hyperlink ref="F21" r:id="rId12"/>
    <hyperlink ref="F22" r:id="rId13"/>
    <hyperlink ref="F23" r:id="rId14"/>
    <hyperlink ref="F24" r:id="rId15"/>
    <hyperlink ref="F26" r:id="rId16"/>
  </hyperlink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dimension ref="A1:N69"/>
  <sheetViews>
    <sheetView workbookViewId="0">
      <pane xSplit="8" ySplit="9" topLeftCell="I10" activePane="bottomRight" state="frozen"/>
      <selection pane="topRight" activeCell="I1" sqref="I1"/>
      <selection pane="bottomLeft" activeCell="A10" sqref="A10"/>
      <selection pane="bottomRight"/>
    </sheetView>
  </sheetViews>
  <sheetFormatPr defaultRowHeight="15" outlineLevelCol="3"/>
  <cols>
    <col min="1" max="1" width="16.7109375" customWidth="1"/>
    <col min="2" max="2" width="13.7109375" customWidth="1"/>
    <col min="3" max="3" width="53.7109375" customWidth="1" outlineLevel="2"/>
    <col min="4" max="4" width="19.7109375" customWidth="1" outlineLevel="1"/>
    <col min="5" max="6" width="17.7109375" customWidth="1" outlineLevel="1"/>
    <col min="7" max="7" width="22.7109375" customWidth="1"/>
    <col min="8" max="8" width="16.7109375" customWidth="1"/>
    <col min="9" max="9" width="9.7109375" customWidth="1" outlineLevel="1"/>
    <col min="10" max="10" width="9.140625" outlineLevel="2"/>
    <col min="11" max="11" width="10.7109375" customWidth="1" outlineLevel="2"/>
    <col min="12" max="12" width="0" hidden="1" customWidth="1" outlineLevel="3" collapsed="1"/>
    <col min="13" max="13" width="16.7109375" customWidth="1"/>
    <col min="14" max="14" width="16.7109375" customWidth="1" outlineLevel="2"/>
  </cols>
  <sheetData>
    <row r="1" spans="1:14" ht="32" customHeight="1">
      <c r="A1" s="1" t="s">
        <v>102</v>
      </c>
      <c r="B1" s="1"/>
      <c r="C1" s="1"/>
      <c r="D1" s="1"/>
      <c r="E1" s="1"/>
      <c r="F1" s="1"/>
      <c r="G1" s="1"/>
      <c r="H1" s="1"/>
    </row>
    <row r="2" spans="1:14">
      <c r="A2" s="2" t="s">
        <v>103</v>
      </c>
      <c r="B2" s="3" t="s">
        <v>104</v>
      </c>
      <c r="G2" s="12" t="s">
        <v>151</v>
      </c>
      <c r="H2" s="12">
        <v>1</v>
      </c>
    </row>
    <row r="3" spans="1:14">
      <c r="A3" s="2" t="s">
        <v>105</v>
      </c>
      <c r="B3" s="3" t="s">
        <v>106</v>
      </c>
      <c r="G3" s="13" t="s">
        <v>153</v>
      </c>
      <c r="H3" s="14">
        <f>TotalCost/BoardQty</f>
        <v>0.0</v>
      </c>
    </row>
    <row r="4" spans="1:14">
      <c r="A4" s="2" t="s">
        <v>107</v>
      </c>
      <c r="B4" s="3" t="s">
        <v>8</v>
      </c>
      <c r="G4" s="13" t="s">
        <v>152</v>
      </c>
      <c r="H4" s="15">
        <f>SUM(H10:H28)</f>
        <v>0</v>
      </c>
      <c r="M4" s="15">
        <f>SUM(M10:M28)</f>
        <v>0</v>
      </c>
      <c r="N4" s="16" t="str">
        <f>(COUNTA(M10:M28)&amp;" of "&amp;ROWS(M10:M28)&amp;" parts found")</f>
        <v>0 of 19 parts found</v>
      </c>
    </row>
    <row r="5" spans="1:14">
      <c r="A5" s="2" t="s">
        <v>108</v>
      </c>
      <c r="B5" s="3" t="s">
        <v>109</v>
      </c>
    </row>
    <row r="6" spans="1:14">
      <c r="A6" s="2" t="s">
        <v>110</v>
      </c>
      <c r="B6" s="3" t="s">
        <v>111</v>
      </c>
    </row>
    <row r="8" spans="1:14">
      <c r="A8" s="17" t="s">
        <v>118</v>
      </c>
      <c r="B8" s="17"/>
      <c r="C8" s="17"/>
      <c r="D8" s="17"/>
      <c r="E8" s="17"/>
      <c r="F8" s="17"/>
      <c r="G8" s="17"/>
      <c r="H8" s="17"/>
      <c r="I8" s="18" t="s">
        <v>143</v>
      </c>
      <c r="J8" s="18"/>
      <c r="K8" s="18"/>
      <c r="L8" s="18"/>
      <c r="M8" s="18"/>
      <c r="N8" s="18"/>
    </row>
    <row r="9" spans="1:14">
      <c r="A9" s="19" t="s">
        <v>2</v>
      </c>
      <c r="B9" s="19" t="s">
        <v>119</v>
      </c>
      <c r="C9" s="19" t="s">
        <v>6</v>
      </c>
      <c r="D9" s="19" t="s">
        <v>120</v>
      </c>
      <c r="E9" s="19" t="s">
        <v>121</v>
      </c>
      <c r="F9" s="19" t="s">
        <v>122</v>
      </c>
      <c r="G9" s="19" t="s">
        <v>123</v>
      </c>
      <c r="H9" s="19" t="s">
        <v>124</v>
      </c>
      <c r="I9" s="19" t="s">
        <v>144</v>
      </c>
      <c r="J9" s="19" t="s">
        <v>145</v>
      </c>
      <c r="K9" s="19" t="s">
        <v>123</v>
      </c>
      <c r="L9" s="19" t="s">
        <v>146</v>
      </c>
      <c r="M9" s="19" t="s">
        <v>124</v>
      </c>
      <c r="N9" s="19" t="s">
        <v>147</v>
      </c>
    </row>
    <row r="10" spans="1:14">
      <c r="A10" s="20" t="s">
        <v>10</v>
      </c>
      <c r="B10" s="20" t="s">
        <v>125</v>
      </c>
      <c r="C10" s="20" t="s">
        <v>14</v>
      </c>
      <c r="D10" s="20" t="s">
        <v>11</v>
      </c>
      <c r="E10" s="20" t="s">
        <v>12</v>
      </c>
      <c r="F10" s="20">
        <f>CEILING(BoardQty*2,1)</f>
        <v>2</v>
      </c>
      <c r="G10" s="21">
        <f>IF(MIN(K10)&lt;&gt;0,MIN(K10),"")</f>
        <v/>
      </c>
      <c r="H10" s="22">
        <f>IF(AND(ISNUMBER(F10),ISNUMBER(G10)),F10*G10,"")</f>
        <v/>
      </c>
    </row>
    <row r="11" spans="1:14">
      <c r="A11" s="20" t="s">
        <v>16</v>
      </c>
      <c r="B11" s="20" t="s">
        <v>126</v>
      </c>
      <c r="C11" s="20" t="s">
        <v>20</v>
      </c>
      <c r="D11" s="20" t="s">
        <v>17</v>
      </c>
      <c r="E11" s="20" t="s">
        <v>18</v>
      </c>
      <c r="F11" s="20">
        <f>BoardQty*1</f>
        <v>1</v>
      </c>
      <c r="G11" s="21">
        <f>IF(MIN(K11)&lt;&gt;0,MIN(K11),"")</f>
        <v/>
      </c>
      <c r="H11" s="22">
        <f>IF(AND(ISNUMBER(F11),ISNUMBER(G11)),F11*G11,"")</f>
        <v/>
      </c>
    </row>
    <row r="12" spans="1:14">
      <c r="A12" s="20" t="s">
        <v>23</v>
      </c>
      <c r="B12" s="20" t="s">
        <v>127</v>
      </c>
      <c r="C12" s="20" t="s">
        <v>27</v>
      </c>
      <c r="D12" s="20" t="s">
        <v>24</v>
      </c>
      <c r="E12" s="20" t="s">
        <v>25</v>
      </c>
      <c r="F12" s="20">
        <f>BoardQty*1</f>
        <v>1</v>
      </c>
      <c r="G12" s="21">
        <f>IF(MIN(K12)&lt;&gt;0,MIN(K12),"")</f>
        <v/>
      </c>
      <c r="H12" s="22">
        <f>IF(AND(ISNUMBER(F12),ISNUMBER(G12)),F12*G12,"")</f>
        <v/>
      </c>
    </row>
    <row r="13" spans="1:14">
      <c r="A13" s="20" t="s">
        <v>30</v>
      </c>
      <c r="B13" s="20" t="s">
        <v>128</v>
      </c>
      <c r="C13" s="20" t="s">
        <v>34</v>
      </c>
      <c r="D13" s="20" t="s">
        <v>31</v>
      </c>
      <c r="E13" s="20" t="s">
        <v>32</v>
      </c>
      <c r="F13" s="20">
        <f>BoardQty*1</f>
        <v>1</v>
      </c>
      <c r="G13" s="21">
        <f>IF(MIN(K13)&lt;&gt;0,MIN(K13),"")</f>
        <v/>
      </c>
      <c r="H13" s="22">
        <f>IF(AND(ISNUMBER(F13),ISNUMBER(G13)),F13*G13,"")</f>
        <v/>
      </c>
    </row>
    <row r="14" spans="1:14">
      <c r="A14" s="20" t="s">
        <v>37</v>
      </c>
      <c r="B14" s="20" t="s">
        <v>129</v>
      </c>
      <c r="C14" s="20" t="s">
        <v>39</v>
      </c>
      <c r="F14" s="20">
        <f>BoardQty*1</f>
        <v>1</v>
      </c>
      <c r="G14" s="21">
        <f>IF(MIN(K14)&lt;&gt;0,MIN(K14),"")</f>
        <v/>
      </c>
      <c r="H14" s="22">
        <f>IF(AND(ISNUMBER(F14),ISNUMBER(G14)),F14*G14,"")</f>
        <v/>
      </c>
    </row>
    <row r="15" spans="1:14">
      <c r="A15" s="20" t="s">
        <v>42</v>
      </c>
      <c r="B15" s="20" t="s">
        <v>130</v>
      </c>
      <c r="C15" s="20" t="s">
        <v>39</v>
      </c>
      <c r="D15" s="20" t="s">
        <v>43</v>
      </c>
      <c r="E15" s="20" t="s">
        <v>44</v>
      </c>
      <c r="F15" s="20">
        <f>BoardQty*1</f>
        <v>1</v>
      </c>
      <c r="G15" s="21">
        <f>IF(MIN(K15)&lt;&gt;0,MIN(K15),"")</f>
        <v/>
      </c>
      <c r="H15" s="22">
        <f>IF(AND(ISNUMBER(F15),ISNUMBER(G15)),F15*G15,"")</f>
        <v/>
      </c>
    </row>
    <row r="16" spans="1:14">
      <c r="A16" s="20" t="s">
        <v>47</v>
      </c>
      <c r="B16" s="20" t="s">
        <v>131</v>
      </c>
      <c r="C16" s="20" t="s">
        <v>39</v>
      </c>
      <c r="D16" s="20" t="s">
        <v>43</v>
      </c>
      <c r="E16" s="20" t="s">
        <v>48</v>
      </c>
      <c r="F16" s="20">
        <f>BoardQty*1</f>
        <v>1</v>
      </c>
      <c r="G16" s="21">
        <f>IF(MIN(K16)&lt;&gt;0,MIN(K16),"")</f>
        <v/>
      </c>
      <c r="H16" s="22">
        <f>IF(AND(ISNUMBER(F16),ISNUMBER(G16)),F16*G16,"")</f>
        <v/>
      </c>
    </row>
    <row r="17" spans="1:13">
      <c r="A17" s="20" t="s">
        <v>51</v>
      </c>
      <c r="B17" s="20" t="s">
        <v>132</v>
      </c>
      <c r="C17" s="20" t="s">
        <v>39</v>
      </c>
      <c r="D17" s="20" t="s">
        <v>43</v>
      </c>
      <c r="E17" s="20" t="s">
        <v>52</v>
      </c>
      <c r="F17" s="20">
        <f>BoardQty*1</f>
        <v>1</v>
      </c>
      <c r="G17" s="21">
        <f>IF(MIN(K17)&lt;&gt;0,MIN(K17),"")</f>
        <v/>
      </c>
      <c r="H17" s="22">
        <f>IF(AND(ISNUMBER(F17),ISNUMBER(G17)),F17*G17,"")</f>
        <v/>
      </c>
    </row>
    <row r="18" spans="1:13">
      <c r="A18" s="20" t="s">
        <v>54</v>
      </c>
      <c r="B18" s="20" t="s">
        <v>133</v>
      </c>
      <c r="C18" s="20" t="s">
        <v>39</v>
      </c>
      <c r="D18" s="20" t="s">
        <v>43</v>
      </c>
      <c r="E18" s="20" t="s">
        <v>55</v>
      </c>
      <c r="F18" s="20">
        <f>BoardQty*1</f>
        <v>1</v>
      </c>
      <c r="G18" s="21">
        <f>IF(MIN(K18)&lt;&gt;0,MIN(K18),"")</f>
        <v/>
      </c>
      <c r="H18" s="22">
        <f>IF(AND(ISNUMBER(F18),ISNUMBER(G18)),F18*G18,"")</f>
        <v/>
      </c>
    </row>
    <row r="19" spans="1:13">
      <c r="A19" s="20" t="s">
        <v>57</v>
      </c>
      <c r="B19" s="20" t="s">
        <v>134</v>
      </c>
      <c r="C19" s="20" t="s">
        <v>39</v>
      </c>
      <c r="D19" s="20" t="s">
        <v>43</v>
      </c>
      <c r="E19" s="20" t="s">
        <v>58</v>
      </c>
      <c r="F19" s="20">
        <f>BoardQty*1</f>
        <v>1</v>
      </c>
      <c r="G19" s="21">
        <f>IF(MIN(K19)&lt;&gt;0,MIN(K19),"")</f>
        <v/>
      </c>
      <c r="H19" s="22">
        <f>IF(AND(ISNUMBER(F19),ISNUMBER(G19)),F19*G19,"")</f>
        <v/>
      </c>
    </row>
    <row r="20" spans="1:13">
      <c r="A20" s="20" t="s">
        <v>61</v>
      </c>
      <c r="B20" s="20" t="s">
        <v>135</v>
      </c>
      <c r="C20" s="20" t="s">
        <v>39</v>
      </c>
      <c r="D20" s="20" t="s">
        <v>43</v>
      </c>
      <c r="E20" s="20" t="s">
        <v>62</v>
      </c>
      <c r="F20" s="20">
        <f>CEILING(BoardQty*2,1)</f>
        <v>2</v>
      </c>
      <c r="G20" s="21">
        <f>IF(MIN(K20)&lt;&gt;0,MIN(K20),"")</f>
        <v/>
      </c>
      <c r="H20" s="22">
        <f>IF(AND(ISNUMBER(F20),ISNUMBER(G20)),F20*G20,"")</f>
        <v/>
      </c>
    </row>
    <row r="21" spans="1:13">
      <c r="A21" s="20" t="s">
        <v>64</v>
      </c>
      <c r="B21" s="20" t="s">
        <v>66</v>
      </c>
      <c r="C21" s="20" t="s">
        <v>68</v>
      </c>
      <c r="D21" s="20" t="s">
        <v>65</v>
      </c>
      <c r="E21" s="20" t="s">
        <v>66</v>
      </c>
      <c r="F21" s="20">
        <f>BoardQty*1</f>
        <v>1</v>
      </c>
      <c r="G21" s="21">
        <f>IF(MIN(K21)&lt;&gt;0,MIN(K21),"")</f>
        <v/>
      </c>
      <c r="H21" s="22">
        <f>IF(AND(ISNUMBER(F21),ISNUMBER(G21)),F21*G21,"")</f>
        <v/>
      </c>
    </row>
    <row r="22" spans="1:13">
      <c r="A22" s="20" t="s">
        <v>71</v>
      </c>
      <c r="B22" s="20" t="s">
        <v>136</v>
      </c>
      <c r="C22" s="20" t="s">
        <v>75</v>
      </c>
      <c r="D22" s="20" t="s">
        <v>72</v>
      </c>
      <c r="E22" s="20" t="s">
        <v>73</v>
      </c>
      <c r="F22" s="20">
        <f>BoardQty*1</f>
        <v>1</v>
      </c>
      <c r="G22" s="21">
        <f>IF(MIN(K22)&lt;&gt;0,MIN(K22),"")</f>
        <v/>
      </c>
      <c r="H22" s="22">
        <f>IF(AND(ISNUMBER(F22),ISNUMBER(G22)),F22*G22,"")</f>
        <v/>
      </c>
    </row>
    <row r="23" spans="1:13">
      <c r="A23" s="20" t="s">
        <v>78</v>
      </c>
      <c r="B23" s="20" t="s">
        <v>137</v>
      </c>
      <c r="C23" s="20" t="s">
        <v>75</v>
      </c>
      <c r="D23" s="20" t="s">
        <v>72</v>
      </c>
      <c r="E23" s="20" t="s">
        <v>73</v>
      </c>
      <c r="F23" s="20">
        <f>BoardQty*1</f>
        <v>1</v>
      </c>
      <c r="G23" s="21">
        <f>IF(MIN(K23)&lt;&gt;0,MIN(K23),"")</f>
        <v/>
      </c>
      <c r="H23" s="22">
        <f>IF(AND(ISNUMBER(F23),ISNUMBER(G23)),F23*G23,"")</f>
        <v/>
      </c>
    </row>
    <row r="24" spans="1:13">
      <c r="A24" s="20" t="s">
        <v>80</v>
      </c>
      <c r="B24" s="20" t="s">
        <v>138</v>
      </c>
      <c r="C24" s="20" t="s">
        <v>75</v>
      </c>
      <c r="D24" s="20" t="s">
        <v>72</v>
      </c>
      <c r="E24" s="20" t="s">
        <v>73</v>
      </c>
      <c r="F24" s="20">
        <f>BoardQty*1</f>
        <v>1</v>
      </c>
      <c r="G24" s="21">
        <f>IF(MIN(K24)&lt;&gt;0,MIN(K24),"")</f>
        <v/>
      </c>
      <c r="H24" s="22">
        <f>IF(AND(ISNUMBER(F24),ISNUMBER(G24)),F24*G24,"")</f>
        <v/>
      </c>
    </row>
    <row r="25" spans="1:13">
      <c r="A25" s="20" t="s">
        <v>82</v>
      </c>
      <c r="B25" s="20" t="s">
        <v>139</v>
      </c>
      <c r="C25" s="20" t="s">
        <v>75</v>
      </c>
      <c r="D25" s="20" t="s">
        <v>72</v>
      </c>
      <c r="E25" s="20" t="s">
        <v>73</v>
      </c>
      <c r="F25" s="20">
        <f>BoardQty*1</f>
        <v>1</v>
      </c>
      <c r="G25" s="21">
        <f>IF(MIN(K25)&lt;&gt;0,MIN(K25),"")</f>
        <v/>
      </c>
      <c r="H25" s="22">
        <f>IF(AND(ISNUMBER(F25),ISNUMBER(G25)),F25*G25,"")</f>
        <v/>
      </c>
    </row>
    <row r="26" spans="1:13">
      <c r="A26" s="20" t="s">
        <v>84</v>
      </c>
      <c r="B26" s="20" t="s">
        <v>140</v>
      </c>
      <c r="C26" s="20" t="s">
        <v>88</v>
      </c>
      <c r="D26" s="20" t="s">
        <v>85</v>
      </c>
      <c r="E26" s="20" t="s">
        <v>86</v>
      </c>
      <c r="F26" s="20">
        <f>BoardQty*1</f>
        <v>1</v>
      </c>
      <c r="G26" s="21">
        <f>IF(MIN(K26)&lt;&gt;0,MIN(K26),"")</f>
        <v/>
      </c>
      <c r="H26" s="22">
        <f>IF(AND(ISNUMBER(F26),ISNUMBER(G26)),F26*G26,"")</f>
        <v/>
      </c>
    </row>
    <row r="27" spans="1:13">
      <c r="A27" s="20" t="s">
        <v>91</v>
      </c>
      <c r="B27" s="20" t="s">
        <v>141</v>
      </c>
      <c r="C27" s="20" t="s">
        <v>95</v>
      </c>
      <c r="D27" s="20" t="s">
        <v>92</v>
      </c>
      <c r="E27" s="20" t="s">
        <v>93</v>
      </c>
      <c r="F27" s="20">
        <f>BoardQty*1</f>
        <v>1</v>
      </c>
      <c r="G27" s="21">
        <f>IF(MIN(K27)&lt;&gt;0,MIN(K27),"")</f>
        <v/>
      </c>
      <c r="H27" s="22">
        <f>IF(AND(ISNUMBER(F27),ISNUMBER(G27)),F27*G27,"")</f>
        <v/>
      </c>
    </row>
    <row r="28" spans="1:13">
      <c r="A28" s="20" t="s">
        <v>98</v>
      </c>
      <c r="B28" s="20" t="s">
        <v>142</v>
      </c>
      <c r="C28" s="20" t="s">
        <v>100</v>
      </c>
      <c r="D28" s="20" t="s">
        <v>92</v>
      </c>
      <c r="E28" s="20" t="s">
        <v>99</v>
      </c>
      <c r="F28" s="20">
        <f>BoardQty*1</f>
        <v>1</v>
      </c>
      <c r="G28" s="21">
        <f>IF(MIN(K28)&lt;&gt;0,MIN(K28),"")</f>
        <v/>
      </c>
      <c r="H28" s="22">
        <f>IF(AND(ISNUMBER(F28),ISNUMBER(G28)),F28*G28,"")</f>
        <v/>
      </c>
    </row>
    <row r="30" spans="1:13">
      <c r="G30" s="13" t="s">
        <v>149</v>
      </c>
      <c r="H30" s="15">
        <f>SUM(M30)</f>
        <v>0</v>
      </c>
      <c r="I30" s="23" t="s">
        <v>148</v>
      </c>
      <c r="J30" s="16">
        <f>IFERROR(IF(COUNTIF(J10:J28,"&gt;0")&gt;0,COUNTIF(J10:J28,"&gt;0")&amp;" of "&amp;(ROWS(L10:L28)-COUNTBLANK(L10:L28))&amp;" parts purchased",""),"")</f>
        <v/>
      </c>
      <c r="M30" s="15">
        <f>SUMIF(J10:J28,"&gt;0",M10:M28)</f>
        <v>0</v>
      </c>
    </row>
    <row r="31" spans="1:13">
      <c r="A31" s="24" t="s">
        <v>154</v>
      </c>
      <c r="B31" s="25" t="s">
        <v>155</v>
      </c>
      <c r="G31" s="26" t="s">
        <v>150</v>
      </c>
      <c r="J31" s="27">
        <f>CONCATENATE(J51,J52,J53,J54,J55,J56,J57,J58,J59,J60,J61,J62,J63,J64,J65,J66,J67,J68,J69)</f>
        <v/>
      </c>
    </row>
    <row r="32" spans="1:13">
      <c r="A32" s="28" t="s">
        <v>156</v>
      </c>
    </row>
    <row r="51" spans="10:10" ht="30" hidden="1" customHeight="1">
      <c r="J51" t="str">
        <f t="array" ref="J51:J69">IF(ISNUMBER(J10:J28)*(J10:J28&gt;=L10:L28)*(N10:N28&lt;&gt;""),N10:N28&amp;"|"&amp;TEXT(ROUNDUP(J10:J28/IF(ISNUMBER(L10:L28),L10:L28,1),0)*L10:L28,"##0")&amp;"|"&amp;SUBSTITUTE(SUBSTITUTE(SUBSTITUTE(IF(PURCHASE_DESCRIPTION&lt;&gt;"",PURCHASE_DESCRIPTION&amp;":","")&amp;A10:A28,"|",";")," ","_"),"
","_")&amp;CHAR(10),"")</f>
        <v/>
      </c>
    </row>
    <row r="52" spans="10:10" ht="30" hidden="1" customHeight="1">
      <c r="J52">
        <v>0</v>
      </c>
    </row>
    <row r="53" spans="10:10" ht="30" hidden="1" customHeight="1">
      <c r="J53">
        <v>0</v>
      </c>
    </row>
    <row r="54" spans="10:10" ht="30" hidden="1" customHeight="1">
      <c r="J54">
        <v>0</v>
      </c>
    </row>
    <row r="55" spans="10:10" ht="30" hidden="1" customHeight="1">
      <c r="J55">
        <v>0</v>
      </c>
    </row>
    <row r="56" spans="10:10" ht="30" hidden="1" customHeight="1">
      <c r="J56">
        <v>0</v>
      </c>
    </row>
    <row r="57" spans="10:10" ht="30" hidden="1" customHeight="1">
      <c r="J57">
        <v>0</v>
      </c>
    </row>
    <row r="58" spans="10:10" ht="30" hidden="1" customHeight="1">
      <c r="J58">
        <v>0</v>
      </c>
    </row>
    <row r="59" spans="10:10" ht="30" hidden="1" customHeight="1">
      <c r="J59">
        <v>0</v>
      </c>
    </row>
    <row r="60" spans="10:10" ht="30" hidden="1" customHeight="1">
      <c r="J60">
        <v>0</v>
      </c>
    </row>
    <row r="61" spans="10:10" ht="30" hidden="1" customHeight="1">
      <c r="J61">
        <v>0</v>
      </c>
    </row>
    <row r="62" spans="10:10" ht="30" hidden="1" customHeight="1">
      <c r="J62">
        <v>0</v>
      </c>
    </row>
    <row r="63" spans="10:10" ht="30" hidden="1" customHeight="1">
      <c r="J63">
        <v>0</v>
      </c>
    </row>
    <row r="64" spans="10:10" ht="30" hidden="1" customHeight="1">
      <c r="J64">
        <v>0</v>
      </c>
    </row>
    <row r="65" spans="10:10" ht="30" hidden="1" customHeight="1">
      <c r="J65">
        <v>0</v>
      </c>
    </row>
    <row r="66" spans="10:10" ht="30" hidden="1" customHeight="1">
      <c r="J66">
        <v>0</v>
      </c>
    </row>
    <row r="67" spans="10:10" ht="30" hidden="1" customHeight="1">
      <c r="J67">
        <v>0</v>
      </c>
    </row>
    <row r="68" spans="10:10" ht="30" hidden="1" customHeight="1">
      <c r="J68">
        <v>0</v>
      </c>
    </row>
    <row r="69" spans="10:10" ht="30" hidden="1" customHeight="1">
      <c r="J69">
        <v>0</v>
      </c>
    </row>
  </sheetData>
  <mergeCells count="4">
    <mergeCell ref="A8:H8"/>
    <mergeCell ref="I8:N8"/>
    <mergeCell ref="J31:M50"/>
    <mergeCell ref="A1:H1"/>
  </mergeCells>
  <conditionalFormatting sqref="F10">
    <cfRule type="expression" dxfId="0" priority="1">
      <formula>AND(ISBLANK(E10),ISBLANK(M10))</formula>
    </cfRule>
    <cfRule type="expression" dxfId="1" priority="2">
      <formula>IF(SUM(I10)=0,1,0)</formula>
    </cfRule>
    <cfRule type="cellIs" dxfId="2" priority="3" operator="greaterThan">
      <formula>SUM(I10)</formula>
    </cfRule>
    <cfRule type="cellIs" dxfId="3" priority="4" operator="greaterThan">
      <formula>SUM(IF(ISNUMBER(K10),J10,0))</formula>
    </cfRule>
  </conditionalFormatting>
  <conditionalFormatting sqref="F11">
    <cfRule type="expression" dxfId="0" priority="5">
      <formula>AND(ISBLANK(E11),ISBLANK(M11))</formula>
    </cfRule>
    <cfRule type="expression" dxfId="1" priority="6">
      <formula>IF(SUM(I11)=0,1,0)</formula>
    </cfRule>
    <cfRule type="cellIs" dxfId="2" priority="7" operator="greaterThan">
      <formula>SUM(I11)</formula>
    </cfRule>
    <cfRule type="cellIs" dxfId="3" priority="8" operator="greaterThan">
      <formula>SUM(IF(ISNUMBER(K11),J11,0))</formula>
    </cfRule>
  </conditionalFormatting>
  <conditionalFormatting sqref="F12">
    <cfRule type="expression" dxfId="0" priority="9">
      <formula>AND(ISBLANK(E12),ISBLANK(M12))</formula>
    </cfRule>
    <cfRule type="expression" dxfId="1" priority="10">
      <formula>IF(SUM(I12)=0,1,0)</formula>
    </cfRule>
    <cfRule type="cellIs" dxfId="2" priority="11" operator="greaterThan">
      <formula>SUM(I12)</formula>
    </cfRule>
    <cfRule type="cellIs" dxfId="3" priority="12" operator="greaterThan">
      <formula>SUM(IF(ISNUMBER(K12),J12,0))</formula>
    </cfRule>
  </conditionalFormatting>
  <conditionalFormatting sqref="F13">
    <cfRule type="expression" dxfId="0" priority="13">
      <formula>AND(ISBLANK(E13),ISBLANK(M13))</formula>
    </cfRule>
    <cfRule type="expression" dxfId="1" priority="14">
      <formula>IF(SUM(I13)=0,1,0)</formula>
    </cfRule>
    <cfRule type="cellIs" dxfId="2" priority="15" operator="greaterThan">
      <formula>SUM(I13)</formula>
    </cfRule>
    <cfRule type="cellIs" dxfId="3" priority="16" operator="greaterThan">
      <formula>SUM(IF(ISNUMBER(K13),J13,0))</formula>
    </cfRule>
  </conditionalFormatting>
  <conditionalFormatting sqref="F14">
    <cfRule type="expression" dxfId="0" priority="17">
      <formula>AND(ISBLANK(E14),ISBLANK(M14))</formula>
    </cfRule>
    <cfRule type="expression" dxfId="1" priority="18">
      <formula>IF(SUM(I14)=0,1,0)</formula>
    </cfRule>
    <cfRule type="cellIs" dxfId="2" priority="19" operator="greaterThan">
      <formula>SUM(I14)</formula>
    </cfRule>
    <cfRule type="cellIs" dxfId="3" priority="20" operator="greaterThan">
      <formula>SUM(IF(ISNUMBER(K14),J14,0))</formula>
    </cfRule>
  </conditionalFormatting>
  <conditionalFormatting sqref="F15">
    <cfRule type="expression" dxfId="0" priority="21">
      <formula>AND(ISBLANK(E15),ISBLANK(M15))</formula>
    </cfRule>
    <cfRule type="expression" dxfId="1" priority="22">
      <formula>IF(SUM(I15)=0,1,0)</formula>
    </cfRule>
    <cfRule type="cellIs" dxfId="2" priority="23" operator="greaterThan">
      <formula>SUM(I15)</formula>
    </cfRule>
    <cfRule type="cellIs" dxfId="3" priority="24" operator="greaterThan">
      <formula>SUM(IF(ISNUMBER(K15),J15,0))</formula>
    </cfRule>
  </conditionalFormatting>
  <conditionalFormatting sqref="F16">
    <cfRule type="expression" dxfId="0" priority="25">
      <formula>AND(ISBLANK(E16),ISBLANK(M16))</formula>
    </cfRule>
    <cfRule type="expression" dxfId="1" priority="26">
      <formula>IF(SUM(I16)=0,1,0)</formula>
    </cfRule>
    <cfRule type="cellIs" dxfId="2" priority="27" operator="greaterThan">
      <formula>SUM(I16)</formula>
    </cfRule>
    <cfRule type="cellIs" dxfId="3" priority="28" operator="greaterThan">
      <formula>SUM(IF(ISNUMBER(K16),J16,0))</formula>
    </cfRule>
  </conditionalFormatting>
  <conditionalFormatting sqref="F17">
    <cfRule type="expression" dxfId="0" priority="29">
      <formula>AND(ISBLANK(E17),ISBLANK(M17))</formula>
    </cfRule>
    <cfRule type="expression" dxfId="1" priority="30">
      <formula>IF(SUM(I17)=0,1,0)</formula>
    </cfRule>
    <cfRule type="cellIs" dxfId="2" priority="31" operator="greaterThan">
      <formula>SUM(I17)</formula>
    </cfRule>
    <cfRule type="cellIs" dxfId="3" priority="32" operator="greaterThan">
      <formula>SUM(IF(ISNUMBER(K17),J17,0))</formula>
    </cfRule>
  </conditionalFormatting>
  <conditionalFormatting sqref="F18">
    <cfRule type="expression" dxfId="0" priority="33">
      <formula>AND(ISBLANK(E18),ISBLANK(M18))</formula>
    </cfRule>
    <cfRule type="expression" dxfId="1" priority="34">
      <formula>IF(SUM(I18)=0,1,0)</formula>
    </cfRule>
    <cfRule type="cellIs" dxfId="2" priority="35" operator="greaterThan">
      <formula>SUM(I18)</formula>
    </cfRule>
    <cfRule type="cellIs" dxfId="3" priority="36" operator="greaterThan">
      <formula>SUM(IF(ISNUMBER(K18),J18,0))</formula>
    </cfRule>
  </conditionalFormatting>
  <conditionalFormatting sqref="F19">
    <cfRule type="expression" dxfId="0" priority="37">
      <formula>AND(ISBLANK(E19),ISBLANK(M19))</formula>
    </cfRule>
    <cfRule type="expression" dxfId="1" priority="38">
      <formula>IF(SUM(I19)=0,1,0)</formula>
    </cfRule>
    <cfRule type="cellIs" dxfId="2" priority="39" operator="greaterThan">
      <formula>SUM(I19)</formula>
    </cfRule>
    <cfRule type="cellIs" dxfId="3" priority="40" operator="greaterThan">
      <formula>SUM(IF(ISNUMBER(K19),J19,0))</formula>
    </cfRule>
  </conditionalFormatting>
  <conditionalFormatting sqref="F20">
    <cfRule type="expression" dxfId="0" priority="41">
      <formula>AND(ISBLANK(E20),ISBLANK(M20))</formula>
    </cfRule>
    <cfRule type="expression" dxfId="1" priority="42">
      <formula>IF(SUM(I20)=0,1,0)</formula>
    </cfRule>
    <cfRule type="cellIs" dxfId="2" priority="43" operator="greaterThan">
      <formula>SUM(I20)</formula>
    </cfRule>
    <cfRule type="cellIs" dxfId="3" priority="44" operator="greaterThan">
      <formula>SUM(IF(ISNUMBER(K20),J20,0))</formula>
    </cfRule>
  </conditionalFormatting>
  <conditionalFormatting sqref="F21">
    <cfRule type="expression" dxfId="0" priority="45">
      <formula>AND(ISBLANK(E21),ISBLANK(M21))</formula>
    </cfRule>
    <cfRule type="expression" dxfId="1" priority="46">
      <formula>IF(SUM(I21)=0,1,0)</formula>
    </cfRule>
    <cfRule type="cellIs" dxfId="2" priority="47" operator="greaterThan">
      <formula>SUM(I21)</formula>
    </cfRule>
    <cfRule type="cellIs" dxfId="3" priority="48" operator="greaterThan">
      <formula>SUM(IF(ISNUMBER(K21),J21,0))</formula>
    </cfRule>
  </conditionalFormatting>
  <conditionalFormatting sqref="F22">
    <cfRule type="expression" dxfId="0" priority="49">
      <formula>AND(ISBLANK(E22),ISBLANK(M22))</formula>
    </cfRule>
    <cfRule type="expression" dxfId="1" priority="50">
      <formula>IF(SUM(I22)=0,1,0)</formula>
    </cfRule>
    <cfRule type="cellIs" dxfId="2" priority="51" operator="greaterThan">
      <formula>SUM(I22)</formula>
    </cfRule>
    <cfRule type="cellIs" dxfId="3" priority="52" operator="greaterThan">
      <formula>SUM(IF(ISNUMBER(K22),J22,0))</formula>
    </cfRule>
  </conditionalFormatting>
  <conditionalFormatting sqref="F23">
    <cfRule type="expression" dxfId="0" priority="53">
      <formula>AND(ISBLANK(E23),ISBLANK(M23))</formula>
    </cfRule>
    <cfRule type="expression" dxfId="1" priority="54">
      <formula>IF(SUM(I23)=0,1,0)</formula>
    </cfRule>
    <cfRule type="cellIs" dxfId="2" priority="55" operator="greaterThan">
      <formula>SUM(I23)</formula>
    </cfRule>
    <cfRule type="cellIs" dxfId="3" priority="56" operator="greaterThan">
      <formula>SUM(IF(ISNUMBER(K23),J23,0))</formula>
    </cfRule>
  </conditionalFormatting>
  <conditionalFormatting sqref="F24">
    <cfRule type="expression" dxfId="0" priority="57">
      <formula>AND(ISBLANK(E24),ISBLANK(M24))</formula>
    </cfRule>
    <cfRule type="expression" dxfId="1" priority="58">
      <formula>IF(SUM(I24)=0,1,0)</formula>
    </cfRule>
    <cfRule type="cellIs" dxfId="2" priority="59" operator="greaterThan">
      <formula>SUM(I24)</formula>
    </cfRule>
    <cfRule type="cellIs" dxfId="3" priority="60" operator="greaterThan">
      <formula>SUM(IF(ISNUMBER(K24),J24,0))</formula>
    </cfRule>
  </conditionalFormatting>
  <conditionalFormatting sqref="F25">
    <cfRule type="expression" dxfId="0" priority="61">
      <formula>AND(ISBLANK(E25),ISBLANK(M25))</formula>
    </cfRule>
    <cfRule type="expression" dxfId="1" priority="62">
      <formula>IF(SUM(I25)=0,1,0)</formula>
    </cfRule>
    <cfRule type="cellIs" dxfId="2" priority="63" operator="greaterThan">
      <formula>SUM(I25)</formula>
    </cfRule>
    <cfRule type="cellIs" dxfId="3" priority="64" operator="greaterThan">
      <formula>SUM(IF(ISNUMBER(K25),J25,0))</formula>
    </cfRule>
  </conditionalFormatting>
  <conditionalFormatting sqref="F26">
    <cfRule type="expression" dxfId="0" priority="65">
      <formula>AND(ISBLANK(E26),ISBLANK(M26))</formula>
    </cfRule>
    <cfRule type="expression" dxfId="1" priority="66">
      <formula>IF(SUM(I26)=0,1,0)</formula>
    </cfRule>
    <cfRule type="cellIs" dxfId="2" priority="67" operator="greaterThan">
      <formula>SUM(I26)</formula>
    </cfRule>
    <cfRule type="cellIs" dxfId="3" priority="68" operator="greaterThan">
      <formula>SUM(IF(ISNUMBER(K26),J26,0))</formula>
    </cfRule>
  </conditionalFormatting>
  <conditionalFormatting sqref="F27">
    <cfRule type="expression" dxfId="0" priority="69">
      <formula>AND(ISBLANK(E27),ISBLANK(M27))</formula>
    </cfRule>
    <cfRule type="expression" dxfId="1" priority="70">
      <formula>IF(SUM(I27)=0,1,0)</formula>
    </cfRule>
    <cfRule type="cellIs" dxfId="2" priority="71" operator="greaterThan">
      <formula>SUM(I27)</formula>
    </cfRule>
    <cfRule type="cellIs" dxfId="3" priority="72" operator="greaterThan">
      <formula>SUM(IF(ISNUMBER(K27),J27,0))</formula>
    </cfRule>
  </conditionalFormatting>
  <conditionalFormatting sqref="F28">
    <cfRule type="expression" dxfId="0" priority="73">
      <formula>AND(ISBLANK(E28),ISBLANK(M28))</formula>
    </cfRule>
    <cfRule type="expression" dxfId="1" priority="74">
      <formula>IF(SUM(I28)=0,1,0)</formula>
    </cfRule>
    <cfRule type="cellIs" dxfId="2" priority="75" operator="greaterThan">
      <formula>SUM(I28)</formula>
    </cfRule>
    <cfRule type="cellIs" dxfId="3" priority="76" operator="greaterThan">
      <formula>SUM(IF(ISNUMBER(K28),J28,0))</formula>
    </cfRule>
  </conditionalFormatting>
  <hyperlinks>
    <hyperlink ref="E10" r:id="rId1"/>
    <hyperlink ref="E11" r:id="rId2"/>
    <hyperlink ref="E12" r:id="rId3"/>
    <hyperlink ref="E13" r:id="rId4"/>
    <hyperlink ref="E15" r:id="rId5"/>
    <hyperlink ref="E16" r:id="rId6"/>
    <hyperlink ref="E17" r:id="rId7"/>
    <hyperlink ref="E18" r:id="rId8"/>
    <hyperlink ref="E19" r:id="rId9"/>
    <hyperlink ref="E20" r:id="rId10"/>
    <hyperlink ref="E21" r:id="rId11"/>
    <hyperlink ref="E22" r:id="rId12"/>
    <hyperlink ref="E23" r:id="rId13"/>
    <hyperlink ref="E24" r:id="rId14"/>
    <hyperlink ref="E25" r:id="rId15"/>
    <hyperlink ref="E27" r:id="rId16"/>
    <hyperlink ref="I30" r:id="rId17"/>
  </hyperlinks>
  <pageMargins left="0.7" right="0.7" top="0.75" bottom="0.75" header="0.3" footer="0.3"/>
  <legacyDrawing r:id="rId18"/>
</worksheet>
</file>

<file path=xl/worksheets/sheet3.xml><?xml version="1.0" encoding="utf-8"?>
<worksheet xmlns="http://schemas.openxmlformats.org/spreadsheetml/2006/main" xmlns:r="http://schemas.openxmlformats.org/officeDocument/2006/relationships">
  <dimension ref="A1:A16"/>
  <sheetViews>
    <sheetView workbookViewId="0"/>
  </sheetViews>
  <sheetFormatPr defaultRowHeight="15"/>
  <cols>
    <col min="1" max="1" width="49.7109375" customWidth="1"/>
  </cols>
  <sheetData>
    <row r="1" spans="1:1">
      <c r="A1" t="s">
        <v>157</v>
      </c>
    </row>
    <row r="2" spans="1:1">
      <c r="A2" s="6" t="s">
        <v>158</v>
      </c>
    </row>
    <row r="3" spans="1:1">
      <c r="A3" s="5" t="s">
        <v>159</v>
      </c>
    </row>
    <row r="4" spans="1:1">
      <c r="A4" s="7" t="s">
        <v>160</v>
      </c>
    </row>
    <row r="5" spans="1:1">
      <c r="A5" s="11" t="s">
        <v>161</v>
      </c>
    </row>
    <row r="7" spans="1:1">
      <c r="A7" t="s">
        <v>162</v>
      </c>
    </row>
    <row r="8" spans="1:1">
      <c r="A8" s="29" t="s">
        <v>163</v>
      </c>
    </row>
    <row r="9" spans="1:1">
      <c r="A9" s="30" t="s">
        <v>164</v>
      </c>
    </row>
    <row r="10" spans="1:1">
      <c r="A10" s="31" t="s">
        <v>165</v>
      </c>
    </row>
    <row r="11" spans="1:1">
      <c r="A11" s="32" t="s">
        <v>166</v>
      </c>
    </row>
    <row r="12" spans="1:1">
      <c r="A12" s="33" t="s">
        <v>167</v>
      </c>
    </row>
    <row r="13" spans="1:1">
      <c r="A13" s="34" t="s">
        <v>168</v>
      </c>
    </row>
    <row r="14" spans="1:1">
      <c r="A14" s="35" t="s">
        <v>169</v>
      </c>
    </row>
    <row r="15" spans="1:1">
      <c r="A15" s="36" t="s">
        <v>170</v>
      </c>
    </row>
    <row r="16" spans="1:1">
      <c r="A16" s="37" t="s">
        <v>171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4</vt:i4>
      </vt:variant>
    </vt:vector>
  </HeadingPairs>
  <TitlesOfParts>
    <vt:vector size="7" baseType="lpstr">
      <vt:lpstr>BoM</vt:lpstr>
      <vt:lpstr>Costs</vt:lpstr>
      <vt:lpstr>Colors</vt:lpstr>
      <vt:lpstr>'Costs'!BoardQty</vt:lpstr>
      <vt:lpstr>BoM!Print_Titles</vt:lpstr>
      <vt:lpstr>'Costs'!PURCHASE_DESCRIPTION</vt:lpstr>
      <vt:lpstr>'Costs'!TotalCost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2026-01-17T13:16:43Z</dcterms:created>
  <dcterms:modified xsi:type="dcterms:W3CDTF">2026-01-17T13:16:43Z</dcterms:modified>
</cp:coreProperties>
</file>